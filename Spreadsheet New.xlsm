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8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9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drawings/drawing10.xml" ContentType="application/vnd.openxmlformats-officedocument.drawing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drawings/drawing11.xml" ContentType="application/vnd.openxmlformats-officedocument.drawing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drawings/drawing12.xml" ContentType="application/vnd.openxmlformats-officedocument.drawing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drawings/drawing13.xml" ContentType="application/vnd.openxmlformats-officedocument.drawing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drawings/drawing14.xml" ContentType="application/vnd.openxmlformats-officedocument.drawing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ushal\Dropbox\University Documents\KINGSTON Foundation Year\Marion Moore\Ria View Theatre Club Assignment\Part 3 - Spreadsheet\"/>
    </mc:Choice>
  </mc:AlternateContent>
  <workbookProtection lockStructure="1"/>
  <bookViews>
    <workbookView xWindow="360" yWindow="210" windowWidth="18195" windowHeight="9660" tabRatio="900" activeTab="5"/>
  </bookViews>
  <sheets>
    <sheet name="Main Menu" sheetId="7" r:id="rId1"/>
    <sheet name="Sheet1" sheetId="32" state="hidden" r:id="rId2"/>
    <sheet name="Revinue" sheetId="31" r:id="rId3"/>
    <sheet name="Price of Coaches" sheetId="2" r:id="rId4"/>
    <sheet name="Coach Availabilty" sheetId="10" state="hidden" r:id="rId5"/>
    <sheet name="Price of Tickets" sheetId="1" r:id="rId6"/>
    <sheet name="Ticket Number" sheetId="8" state="hidden" r:id="rId7"/>
    <sheet name="Trips" sheetId="3" r:id="rId8"/>
    <sheet name="Trips timings" sheetId="11" state="hidden" r:id="rId9"/>
    <sheet name="Trip shows" sheetId="13" state="hidden" r:id="rId10"/>
    <sheet name="Annual Membership" sheetId="4" r:id="rId11"/>
    <sheet name="Members" sheetId="15" r:id="rId12"/>
    <sheet name="Royal Court Theatre" sheetId="23" r:id="rId13"/>
    <sheet name="Southwark Playhouse" sheetId="24" r:id="rId14"/>
    <sheet name="National Theatre" sheetId="25" r:id="rId15"/>
    <sheet name="Union Theatre" sheetId="26" r:id="rId16"/>
    <sheet name="The Young Vic Theatre" sheetId="27" r:id="rId17"/>
    <sheet name="The Old Vic" sheetId="28" r:id="rId18"/>
    <sheet name="Victoria Palace Theatre" sheetId="29" r:id="rId19"/>
    <sheet name="Soho Theatre" sheetId="30" r:id="rId20"/>
  </sheets>
  <definedNames>
    <definedName name="_xlnm._FilterDatabase" localSheetId="3" hidden="1">'Price of Coaches'!#REF!</definedName>
    <definedName name="_xlnm.Print_Area" localSheetId="0">'Main Menu'!$A$1:$P$33</definedName>
  </definedNames>
  <calcPr calcId="162913"/>
  <pivotCaches>
    <pivotCache cacheId="0" r:id="rId21"/>
    <pivotCache cacheId="1" r:id="rId22"/>
  </pivotCaches>
</workbook>
</file>

<file path=xl/calcChain.xml><?xml version="1.0" encoding="utf-8"?>
<calcChain xmlns="http://schemas.openxmlformats.org/spreadsheetml/2006/main">
  <c r="G22" i="1" l="1"/>
  <c r="G23" i="1"/>
  <c r="F23" i="1"/>
  <c r="F12" i="1" l="1"/>
  <c r="F13" i="1"/>
  <c r="F14" i="1"/>
  <c r="F15" i="1"/>
  <c r="F16" i="1"/>
  <c r="F17" i="1"/>
  <c r="F18" i="1"/>
  <c r="F19" i="1"/>
  <c r="F20" i="1"/>
  <c r="F21" i="1"/>
  <c r="F22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39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04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11" i="1"/>
  <c r="G6" i="30" l="1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5" i="30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5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5" i="29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5" i="28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5" i="27"/>
  <c r="G3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5" i="26"/>
  <c r="G5" i="26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5" i="25"/>
  <c r="D35" i="30"/>
  <c r="C35" i="30"/>
  <c r="B35" i="30"/>
  <c r="D34" i="30"/>
  <c r="C34" i="30"/>
  <c r="B34" i="30"/>
  <c r="D33" i="30"/>
  <c r="C33" i="30"/>
  <c r="B33" i="30"/>
  <c r="D32" i="30"/>
  <c r="C32" i="30"/>
  <c r="B32" i="30"/>
  <c r="D31" i="30"/>
  <c r="C31" i="30"/>
  <c r="B31" i="30"/>
  <c r="D30" i="30"/>
  <c r="C30" i="30"/>
  <c r="B30" i="30"/>
  <c r="E29" i="30"/>
  <c r="D29" i="30"/>
  <c r="C29" i="30"/>
  <c r="B29" i="30"/>
  <c r="D28" i="30"/>
  <c r="C28" i="30"/>
  <c r="B28" i="30"/>
  <c r="D27" i="30"/>
  <c r="C27" i="30"/>
  <c r="B27" i="30"/>
  <c r="E26" i="30"/>
  <c r="D26" i="30"/>
  <c r="C26" i="30"/>
  <c r="B26" i="30"/>
  <c r="D25" i="30"/>
  <c r="C25" i="30"/>
  <c r="B25" i="30"/>
  <c r="D24" i="30"/>
  <c r="C24" i="30"/>
  <c r="B24" i="30"/>
  <c r="D23" i="30"/>
  <c r="C23" i="30"/>
  <c r="B23" i="30"/>
  <c r="D22" i="30"/>
  <c r="C22" i="30"/>
  <c r="B22" i="30"/>
  <c r="D21" i="30"/>
  <c r="C21" i="30"/>
  <c r="B21" i="30"/>
  <c r="D20" i="30"/>
  <c r="C20" i="30"/>
  <c r="B20" i="30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E13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35" i="29"/>
  <c r="C35" i="29"/>
  <c r="B35" i="29"/>
  <c r="D34" i="29"/>
  <c r="C34" i="29"/>
  <c r="B34" i="29"/>
  <c r="D33" i="29"/>
  <c r="C33" i="29"/>
  <c r="B33" i="29"/>
  <c r="D32" i="29"/>
  <c r="C32" i="29"/>
  <c r="B32" i="29"/>
  <c r="D31" i="29"/>
  <c r="C31" i="29"/>
  <c r="B31" i="29"/>
  <c r="D30" i="29"/>
  <c r="C30" i="29"/>
  <c r="B30" i="29"/>
  <c r="E29" i="29"/>
  <c r="D29" i="29"/>
  <c r="C29" i="29"/>
  <c r="B29" i="29"/>
  <c r="D28" i="29"/>
  <c r="C28" i="29"/>
  <c r="B28" i="29"/>
  <c r="D27" i="29"/>
  <c r="C27" i="29"/>
  <c r="B27" i="29"/>
  <c r="E26" i="29"/>
  <c r="D26" i="29"/>
  <c r="C26" i="29"/>
  <c r="B26" i="29"/>
  <c r="D25" i="29"/>
  <c r="C25" i="29"/>
  <c r="B25" i="29"/>
  <c r="D24" i="29"/>
  <c r="C24" i="29"/>
  <c r="B24" i="29"/>
  <c r="D23" i="29"/>
  <c r="C23" i="29"/>
  <c r="B23" i="29"/>
  <c r="D22" i="29"/>
  <c r="C22" i="29"/>
  <c r="B22" i="29"/>
  <c r="D21" i="29"/>
  <c r="C21" i="29"/>
  <c r="B21" i="29"/>
  <c r="D20" i="29"/>
  <c r="C20" i="29"/>
  <c r="B20" i="29"/>
  <c r="D19" i="29"/>
  <c r="C19" i="29"/>
  <c r="B19" i="29"/>
  <c r="D18" i="29"/>
  <c r="C18" i="29"/>
  <c r="B18" i="29"/>
  <c r="D17" i="29"/>
  <c r="C17" i="29"/>
  <c r="B17" i="29"/>
  <c r="D16" i="29"/>
  <c r="C16" i="29"/>
  <c r="B16" i="29"/>
  <c r="D15" i="29"/>
  <c r="C15" i="29"/>
  <c r="B15" i="29"/>
  <c r="D14" i="29"/>
  <c r="C14" i="29"/>
  <c r="B14" i="29"/>
  <c r="E13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35" i="28"/>
  <c r="C35" i="28"/>
  <c r="B35" i="28"/>
  <c r="D34" i="28"/>
  <c r="C34" i="28"/>
  <c r="B34" i="28"/>
  <c r="D33" i="28"/>
  <c r="C33" i="28"/>
  <c r="B33" i="28"/>
  <c r="D32" i="28"/>
  <c r="C32" i="28"/>
  <c r="B32" i="28"/>
  <c r="D31" i="28"/>
  <c r="C31" i="28"/>
  <c r="B31" i="28"/>
  <c r="D30" i="28"/>
  <c r="C30" i="28"/>
  <c r="B30" i="28"/>
  <c r="E29" i="28"/>
  <c r="D29" i="28"/>
  <c r="C29" i="28"/>
  <c r="B29" i="28"/>
  <c r="D28" i="28"/>
  <c r="C28" i="28"/>
  <c r="B28" i="28"/>
  <c r="D27" i="28"/>
  <c r="C27" i="28"/>
  <c r="B27" i="28"/>
  <c r="E26" i="28"/>
  <c r="D26" i="28"/>
  <c r="C26" i="28"/>
  <c r="B26" i="28"/>
  <c r="D25" i="28"/>
  <c r="C25" i="28"/>
  <c r="B25" i="28"/>
  <c r="D24" i="28"/>
  <c r="C24" i="28"/>
  <c r="B24" i="28"/>
  <c r="D23" i="28"/>
  <c r="C23" i="28"/>
  <c r="B23" i="28"/>
  <c r="D22" i="28"/>
  <c r="C22" i="28"/>
  <c r="B22" i="28"/>
  <c r="D21" i="28"/>
  <c r="C21" i="28"/>
  <c r="B21" i="28"/>
  <c r="D20" i="28"/>
  <c r="C20" i="28"/>
  <c r="B20" i="28"/>
  <c r="D19" i="28"/>
  <c r="C19" i="28"/>
  <c r="B19" i="28"/>
  <c r="D18" i="28"/>
  <c r="C18" i="28"/>
  <c r="B18" i="28"/>
  <c r="D17" i="28"/>
  <c r="C17" i="28"/>
  <c r="B17" i="28"/>
  <c r="D16" i="28"/>
  <c r="C16" i="28"/>
  <c r="B16" i="28"/>
  <c r="D15" i="28"/>
  <c r="C15" i="28"/>
  <c r="B15" i="28"/>
  <c r="D14" i="28"/>
  <c r="C14" i="28"/>
  <c r="B14" i="28"/>
  <c r="E13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35" i="27"/>
  <c r="C35" i="27"/>
  <c r="B35" i="27"/>
  <c r="D34" i="27"/>
  <c r="C34" i="27"/>
  <c r="B34" i="27"/>
  <c r="D33" i="27"/>
  <c r="C33" i="27"/>
  <c r="B33" i="27"/>
  <c r="D32" i="27"/>
  <c r="C32" i="27"/>
  <c r="B32" i="27"/>
  <c r="D31" i="27"/>
  <c r="C31" i="27"/>
  <c r="B31" i="27"/>
  <c r="D30" i="27"/>
  <c r="C30" i="27"/>
  <c r="B30" i="27"/>
  <c r="E29" i="27"/>
  <c r="D29" i="27"/>
  <c r="C29" i="27"/>
  <c r="B29" i="27"/>
  <c r="D28" i="27"/>
  <c r="C28" i="27"/>
  <c r="B28" i="27"/>
  <c r="D27" i="27"/>
  <c r="C27" i="27"/>
  <c r="B27" i="27"/>
  <c r="E26" i="27"/>
  <c r="D26" i="27"/>
  <c r="C26" i="27"/>
  <c r="B26" i="27"/>
  <c r="D25" i="27"/>
  <c r="C25" i="27"/>
  <c r="B25" i="27"/>
  <c r="D24" i="27"/>
  <c r="C24" i="27"/>
  <c r="B24" i="27"/>
  <c r="D23" i="27"/>
  <c r="C23" i="27"/>
  <c r="B23" i="27"/>
  <c r="D22" i="27"/>
  <c r="C22" i="27"/>
  <c r="B22" i="27"/>
  <c r="D21" i="27"/>
  <c r="C21" i="27"/>
  <c r="B21" i="27"/>
  <c r="D20" i="27"/>
  <c r="C20" i="27"/>
  <c r="B20" i="27"/>
  <c r="D19" i="27"/>
  <c r="C19" i="27"/>
  <c r="B19" i="27"/>
  <c r="D18" i="27"/>
  <c r="C18" i="27"/>
  <c r="B18" i="27"/>
  <c r="D17" i="27"/>
  <c r="C17" i="27"/>
  <c r="B17" i="27"/>
  <c r="D16" i="27"/>
  <c r="C16" i="27"/>
  <c r="B16" i="27"/>
  <c r="D15" i="27"/>
  <c r="C15" i="27"/>
  <c r="B15" i="27"/>
  <c r="D14" i="27"/>
  <c r="C14" i="27"/>
  <c r="B14" i="27"/>
  <c r="E13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35" i="26"/>
  <c r="C35" i="26"/>
  <c r="B35" i="26"/>
  <c r="D34" i="26"/>
  <c r="C34" i="26"/>
  <c r="B34" i="26"/>
  <c r="D33" i="26"/>
  <c r="C33" i="26"/>
  <c r="B33" i="26"/>
  <c r="D32" i="26"/>
  <c r="C32" i="26"/>
  <c r="B32" i="26"/>
  <c r="D31" i="26"/>
  <c r="C31" i="26"/>
  <c r="B31" i="26"/>
  <c r="D30" i="26"/>
  <c r="C30" i="26"/>
  <c r="B30" i="26"/>
  <c r="E29" i="26"/>
  <c r="D29" i="26"/>
  <c r="C29" i="26"/>
  <c r="B29" i="26"/>
  <c r="D28" i="26"/>
  <c r="C28" i="26"/>
  <c r="B28" i="26"/>
  <c r="D27" i="26"/>
  <c r="C27" i="26"/>
  <c r="B27" i="26"/>
  <c r="E26" i="26"/>
  <c r="D26" i="26"/>
  <c r="C26" i="26"/>
  <c r="B26" i="26"/>
  <c r="D25" i="26"/>
  <c r="C25" i="26"/>
  <c r="B25" i="26"/>
  <c r="D24" i="26"/>
  <c r="C24" i="26"/>
  <c r="B24" i="26"/>
  <c r="D23" i="26"/>
  <c r="C23" i="26"/>
  <c r="B23" i="26"/>
  <c r="D22" i="26"/>
  <c r="C22" i="26"/>
  <c r="B22" i="26"/>
  <c r="D21" i="26"/>
  <c r="C21" i="26"/>
  <c r="B21" i="26"/>
  <c r="D20" i="26"/>
  <c r="C20" i="26"/>
  <c r="B20" i="26"/>
  <c r="D19" i="26"/>
  <c r="C19" i="26"/>
  <c r="B19" i="26"/>
  <c r="D18" i="26"/>
  <c r="C18" i="26"/>
  <c r="B18" i="26"/>
  <c r="D17" i="26"/>
  <c r="C17" i="26"/>
  <c r="B17" i="26"/>
  <c r="D16" i="26"/>
  <c r="C16" i="26"/>
  <c r="B16" i="26"/>
  <c r="D15" i="26"/>
  <c r="C15" i="26"/>
  <c r="B15" i="26"/>
  <c r="D14" i="26"/>
  <c r="C14" i="26"/>
  <c r="B14" i="26"/>
  <c r="E13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35" i="25"/>
  <c r="C35" i="25"/>
  <c r="B35" i="25"/>
  <c r="D34" i="25"/>
  <c r="C34" i="25"/>
  <c r="B34" i="25"/>
  <c r="D33" i="25"/>
  <c r="C33" i="25"/>
  <c r="B33" i="25"/>
  <c r="D32" i="25"/>
  <c r="C32" i="25"/>
  <c r="B32" i="25"/>
  <c r="D31" i="25"/>
  <c r="C31" i="25"/>
  <c r="B31" i="25"/>
  <c r="D30" i="25"/>
  <c r="C30" i="25"/>
  <c r="B30" i="25"/>
  <c r="E29" i="25"/>
  <c r="D29" i="25"/>
  <c r="C29" i="25"/>
  <c r="B29" i="25"/>
  <c r="D28" i="25"/>
  <c r="C28" i="25"/>
  <c r="B28" i="25"/>
  <c r="D27" i="25"/>
  <c r="C27" i="25"/>
  <c r="B27" i="25"/>
  <c r="E26" i="25"/>
  <c r="D26" i="25"/>
  <c r="C26" i="25"/>
  <c r="B26" i="25"/>
  <c r="D25" i="25"/>
  <c r="C25" i="25"/>
  <c r="B25" i="25"/>
  <c r="D24" i="25"/>
  <c r="C24" i="25"/>
  <c r="B24" i="25"/>
  <c r="D23" i="25"/>
  <c r="C23" i="25"/>
  <c r="B23" i="25"/>
  <c r="D22" i="25"/>
  <c r="C22" i="25"/>
  <c r="B22" i="25"/>
  <c r="D21" i="25"/>
  <c r="C21" i="25"/>
  <c r="B21" i="25"/>
  <c r="D20" i="25"/>
  <c r="C20" i="25"/>
  <c r="B20" i="25"/>
  <c r="D19" i="25"/>
  <c r="C19" i="25"/>
  <c r="B19" i="25"/>
  <c r="D18" i="25"/>
  <c r="C18" i="25"/>
  <c r="B18" i="25"/>
  <c r="D17" i="25"/>
  <c r="C17" i="25"/>
  <c r="B17" i="25"/>
  <c r="D16" i="25"/>
  <c r="C16" i="25"/>
  <c r="B16" i="25"/>
  <c r="D15" i="25"/>
  <c r="C15" i="25"/>
  <c r="B15" i="25"/>
  <c r="D14" i="25"/>
  <c r="C14" i="25"/>
  <c r="B14" i="25"/>
  <c r="E13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5" i="24"/>
  <c r="D35" i="24"/>
  <c r="C35" i="24"/>
  <c r="B35" i="24"/>
  <c r="D34" i="24"/>
  <c r="C34" i="24"/>
  <c r="B34" i="24"/>
  <c r="D33" i="24"/>
  <c r="C33" i="24"/>
  <c r="B33" i="24"/>
  <c r="D32" i="24"/>
  <c r="C32" i="24"/>
  <c r="B32" i="24"/>
  <c r="D31" i="24"/>
  <c r="C31" i="24"/>
  <c r="B31" i="24"/>
  <c r="D30" i="24"/>
  <c r="C30" i="24"/>
  <c r="B30" i="24"/>
  <c r="E29" i="24"/>
  <c r="D29" i="24"/>
  <c r="C29" i="24"/>
  <c r="B29" i="24"/>
  <c r="D28" i="24"/>
  <c r="C28" i="24"/>
  <c r="B28" i="24"/>
  <c r="D27" i="24"/>
  <c r="C27" i="24"/>
  <c r="B27" i="24"/>
  <c r="E26" i="24"/>
  <c r="D26" i="24"/>
  <c r="C26" i="24"/>
  <c r="B26" i="24"/>
  <c r="D25" i="24"/>
  <c r="C25" i="24"/>
  <c r="B25" i="24"/>
  <c r="D24" i="24"/>
  <c r="C24" i="24"/>
  <c r="B24" i="24"/>
  <c r="D23" i="24"/>
  <c r="C23" i="24"/>
  <c r="B23" i="24"/>
  <c r="D22" i="24"/>
  <c r="C22" i="24"/>
  <c r="B22" i="24"/>
  <c r="D21" i="24"/>
  <c r="C21" i="24"/>
  <c r="B21" i="24"/>
  <c r="D20" i="24"/>
  <c r="C20" i="24"/>
  <c r="B20" i="24"/>
  <c r="D19" i="24"/>
  <c r="C19" i="24"/>
  <c r="B19" i="24"/>
  <c r="D18" i="24"/>
  <c r="C18" i="24"/>
  <c r="B18" i="24"/>
  <c r="D17" i="24"/>
  <c r="C17" i="24"/>
  <c r="B17" i="24"/>
  <c r="D16" i="24"/>
  <c r="C16" i="24"/>
  <c r="B16" i="24"/>
  <c r="D15" i="24"/>
  <c r="C15" i="24"/>
  <c r="B15" i="24"/>
  <c r="D14" i="24"/>
  <c r="C14" i="24"/>
  <c r="B14" i="24"/>
  <c r="E13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E13" i="23"/>
  <c r="E26" i="23"/>
  <c r="E29" i="23"/>
  <c r="D3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C34" i="23"/>
  <c r="C35" i="23"/>
  <c r="C31" i="23"/>
  <c r="C32" i="23"/>
  <c r="C33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F5" i="23" l="1"/>
  <c r="G5" i="23"/>
  <c r="D5" i="23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F48" i="4" s="1"/>
  <c r="E49" i="4"/>
  <c r="E50" i="4"/>
  <c r="F50" i="4" s="1"/>
  <c r="E51" i="4"/>
  <c r="F51" i="4" s="1"/>
  <c r="E52" i="4"/>
  <c r="F52" i="4" s="1"/>
  <c r="E53" i="4"/>
  <c r="F53" i="4" s="1"/>
  <c r="E54" i="4"/>
  <c r="F54" i="4" s="1"/>
  <c r="E55" i="4"/>
  <c r="F55" i="4" s="1"/>
  <c r="E25" i="4"/>
  <c r="E3" i="15"/>
  <c r="E4" i="15"/>
  <c r="E5" i="15"/>
  <c r="E6" i="15"/>
  <c r="E7" i="15"/>
  <c r="E8" i="15"/>
  <c r="E9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4" i="15"/>
  <c r="E25" i="15"/>
  <c r="E27" i="15"/>
  <c r="E28" i="15"/>
  <c r="E29" i="15"/>
  <c r="E30" i="15"/>
  <c r="E31" i="15"/>
  <c r="E32" i="15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25" i="4"/>
  <c r="B5" i="23"/>
  <c r="H72" i="1"/>
  <c r="G72" i="1" s="1"/>
  <c r="H73" i="1"/>
  <c r="H74" i="1"/>
  <c r="H75" i="1"/>
  <c r="G75" i="1" s="1"/>
  <c r="H76" i="1"/>
  <c r="G76" i="1" s="1"/>
  <c r="H77" i="1"/>
  <c r="G77" i="1" s="1"/>
  <c r="H78" i="1"/>
  <c r="H79" i="1"/>
  <c r="G79" i="1" s="1"/>
  <c r="H80" i="1"/>
  <c r="G80" i="1" s="1"/>
  <c r="H81" i="1"/>
  <c r="G81" i="1" s="1"/>
  <c r="H82" i="1"/>
  <c r="H83" i="1"/>
  <c r="G83" i="1" s="1"/>
  <c r="H84" i="1"/>
  <c r="G84" i="1" s="1"/>
  <c r="H85" i="1"/>
  <c r="G85" i="1" s="1"/>
  <c r="H86" i="1"/>
  <c r="H87" i="1"/>
  <c r="G87" i="1" s="1"/>
  <c r="H88" i="1"/>
  <c r="H89" i="1"/>
  <c r="G89" i="1" s="1"/>
  <c r="H90" i="1"/>
  <c r="H91" i="1"/>
  <c r="G91" i="1" s="1"/>
  <c r="H92" i="1"/>
  <c r="G92" i="1" s="1"/>
  <c r="G73" i="1"/>
  <c r="C111" i="1"/>
  <c r="C112" i="1"/>
  <c r="I112" i="1" s="1"/>
  <c r="C113" i="1"/>
  <c r="I113" i="1" s="1"/>
  <c r="C114" i="1"/>
  <c r="I114" i="1" s="1"/>
  <c r="C115" i="1"/>
  <c r="C116" i="1"/>
  <c r="C117" i="1"/>
  <c r="I117" i="1" s="1"/>
  <c r="C118" i="1"/>
  <c r="I118" i="1" s="1"/>
  <c r="C119" i="1"/>
  <c r="C120" i="1"/>
  <c r="I120" i="1" s="1"/>
  <c r="C121" i="1"/>
  <c r="I121" i="1" s="1"/>
  <c r="C122" i="1"/>
  <c r="I122" i="1" s="1"/>
  <c r="C123" i="1"/>
  <c r="C124" i="1"/>
  <c r="I124" i="1" s="1"/>
  <c r="C125" i="1"/>
  <c r="I125" i="1" s="1"/>
  <c r="C126" i="1"/>
  <c r="I126" i="1" s="1"/>
  <c r="C127" i="1"/>
  <c r="C128" i="1"/>
  <c r="I128" i="1" s="1"/>
  <c r="C129" i="1"/>
  <c r="I129" i="1" s="1"/>
  <c r="C105" i="1"/>
  <c r="C106" i="1"/>
  <c r="C107" i="1"/>
  <c r="C108" i="1"/>
  <c r="C109" i="1"/>
  <c r="I109" i="1" s="1"/>
  <c r="C110" i="1"/>
  <c r="C104" i="1"/>
  <c r="I110" i="1"/>
  <c r="I111" i="1"/>
  <c r="I115" i="1"/>
  <c r="I116" i="1"/>
  <c r="I119" i="1"/>
  <c r="I123" i="1"/>
  <c r="I127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H44" i="1"/>
  <c r="G44" i="1" s="1"/>
  <c r="H45" i="1"/>
  <c r="G45" i="1" s="1"/>
  <c r="H46" i="1"/>
  <c r="G46" i="1" s="1"/>
  <c r="H47" i="1"/>
  <c r="H48" i="1"/>
  <c r="G48" i="1" s="1"/>
  <c r="H49" i="1"/>
  <c r="G49" i="1" s="1"/>
  <c r="H50" i="1"/>
  <c r="G50" i="1" s="1"/>
  <c r="H51" i="1"/>
  <c r="H52" i="1"/>
  <c r="H53" i="1"/>
  <c r="K29" i="27" s="1"/>
  <c r="H54" i="1"/>
  <c r="G54" i="1" s="1"/>
  <c r="H55" i="1"/>
  <c r="G55" i="1" s="1"/>
  <c r="H56" i="1"/>
  <c r="G56" i="1" s="1"/>
  <c r="H57" i="1"/>
  <c r="G57" i="1" s="1"/>
  <c r="H58" i="1"/>
  <c r="G58" i="1" s="1"/>
  <c r="H59" i="1"/>
  <c r="H60" i="1"/>
  <c r="G60" i="1" s="1"/>
  <c r="H61" i="1"/>
  <c r="G61" i="1" s="1"/>
  <c r="H62" i="1"/>
  <c r="G62" i="1" s="1"/>
  <c r="H63" i="1"/>
  <c r="H64" i="1"/>
  <c r="G64" i="1" s="1"/>
  <c r="G52" i="1"/>
  <c r="H71" i="1"/>
  <c r="G71" i="1" s="1"/>
  <c r="H43" i="1"/>
  <c r="G43" i="1" s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G16" i="1"/>
  <c r="G17" i="1"/>
  <c r="G18" i="1"/>
  <c r="G19" i="1"/>
  <c r="G20" i="1"/>
  <c r="G21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E33" i="24" l="1"/>
  <c r="E33" i="30"/>
  <c r="E33" i="29"/>
  <c r="E33" i="28"/>
  <c r="E33" i="27"/>
  <c r="E33" i="26"/>
  <c r="E33" i="25"/>
  <c r="E33" i="23"/>
  <c r="E28" i="24"/>
  <c r="E28" i="30"/>
  <c r="E28" i="29"/>
  <c r="E28" i="28"/>
  <c r="E28" i="23"/>
  <c r="E28" i="27"/>
  <c r="E28" i="26"/>
  <c r="E28" i="25"/>
  <c r="E23" i="24"/>
  <c r="E23" i="30"/>
  <c r="E23" i="29"/>
  <c r="E23" i="23"/>
  <c r="E23" i="28"/>
  <c r="E23" i="27"/>
  <c r="E23" i="26"/>
  <c r="E23" i="25"/>
  <c r="E19" i="24"/>
  <c r="E19" i="23"/>
  <c r="E19" i="30"/>
  <c r="E19" i="29"/>
  <c r="E19" i="28"/>
  <c r="E19" i="27"/>
  <c r="E19" i="26"/>
  <c r="E19" i="25"/>
  <c r="E15" i="24"/>
  <c r="E15" i="23"/>
  <c r="E15" i="30"/>
  <c r="E15" i="29"/>
  <c r="E15" i="28"/>
  <c r="E15" i="27"/>
  <c r="E15" i="26"/>
  <c r="E15" i="25"/>
  <c r="E10" i="24"/>
  <c r="E10" i="23"/>
  <c r="E10" i="30"/>
  <c r="E10" i="29"/>
  <c r="E10" i="28"/>
  <c r="E10" i="26"/>
  <c r="E10" i="27"/>
  <c r="E10" i="25"/>
  <c r="E6" i="24"/>
  <c r="E6" i="23"/>
  <c r="E6" i="30"/>
  <c r="E6" i="29"/>
  <c r="E6" i="28"/>
  <c r="E6" i="27"/>
  <c r="E6" i="26"/>
  <c r="E6" i="25"/>
  <c r="E32" i="24"/>
  <c r="E32" i="30"/>
  <c r="E32" i="29"/>
  <c r="E32" i="28"/>
  <c r="E32" i="27"/>
  <c r="E32" i="23"/>
  <c r="E32" i="26"/>
  <c r="E32" i="25"/>
  <c r="E27" i="24"/>
  <c r="E27" i="23"/>
  <c r="E27" i="30"/>
  <c r="E27" i="29"/>
  <c r="E27" i="28"/>
  <c r="E27" i="27"/>
  <c r="E27" i="26"/>
  <c r="E27" i="25"/>
  <c r="E22" i="24"/>
  <c r="E22" i="23"/>
  <c r="E22" i="28"/>
  <c r="E22" i="30"/>
  <c r="E22" i="29"/>
  <c r="E22" i="27"/>
  <c r="E22" i="26"/>
  <c r="E22" i="25"/>
  <c r="E18" i="24"/>
  <c r="E18" i="23"/>
  <c r="E18" i="30"/>
  <c r="E18" i="29"/>
  <c r="E18" i="28"/>
  <c r="E18" i="27"/>
  <c r="E18" i="26"/>
  <c r="E18" i="25"/>
  <c r="E14" i="24"/>
  <c r="E14" i="23"/>
  <c r="E14" i="30"/>
  <c r="E14" i="29"/>
  <c r="E14" i="28"/>
  <c r="E14" i="26"/>
  <c r="E14" i="27"/>
  <c r="E14" i="25"/>
  <c r="E9" i="24"/>
  <c r="E9" i="29"/>
  <c r="E9" i="28"/>
  <c r="E9" i="30"/>
  <c r="E9" i="23"/>
  <c r="E9" i="27"/>
  <c r="E9" i="26"/>
  <c r="E9" i="25"/>
  <c r="E35" i="24"/>
  <c r="E35" i="23"/>
  <c r="E35" i="30"/>
  <c r="E35" i="29"/>
  <c r="E35" i="28"/>
  <c r="E35" i="27"/>
  <c r="E35" i="25"/>
  <c r="E35" i="26"/>
  <c r="E31" i="24"/>
  <c r="E31" i="23"/>
  <c r="E31" i="30"/>
  <c r="E31" i="29"/>
  <c r="E31" i="28"/>
  <c r="E31" i="27"/>
  <c r="E31" i="26"/>
  <c r="E31" i="25"/>
  <c r="E25" i="24"/>
  <c r="E25" i="30"/>
  <c r="E25" i="29"/>
  <c r="E25" i="28"/>
  <c r="E25" i="23"/>
  <c r="E25" i="27"/>
  <c r="E25" i="26"/>
  <c r="E25" i="25"/>
  <c r="E21" i="24"/>
  <c r="E21" i="30"/>
  <c r="E21" i="29"/>
  <c r="E21" i="28"/>
  <c r="E21" i="23"/>
  <c r="E21" i="27"/>
  <c r="E21" i="26"/>
  <c r="E21" i="25"/>
  <c r="E17" i="24"/>
  <c r="E17" i="30"/>
  <c r="E17" i="29"/>
  <c r="E17" i="28"/>
  <c r="E17" i="27"/>
  <c r="E17" i="23"/>
  <c r="E17" i="26"/>
  <c r="E17" i="25"/>
  <c r="E12" i="24"/>
  <c r="E12" i="30"/>
  <c r="E12" i="29"/>
  <c r="E12" i="28"/>
  <c r="E12" i="26"/>
  <c r="E12" i="23"/>
  <c r="E12" i="27"/>
  <c r="E12" i="25"/>
  <c r="E8" i="24"/>
  <c r="E8" i="30"/>
  <c r="E8" i="29"/>
  <c r="E8" i="28"/>
  <c r="E8" i="23"/>
  <c r="E8" i="26"/>
  <c r="E8" i="27"/>
  <c r="E8" i="25"/>
  <c r="E34" i="24"/>
  <c r="E34" i="23"/>
  <c r="E34" i="30"/>
  <c r="E34" i="29"/>
  <c r="E34" i="28"/>
  <c r="E34" i="27"/>
  <c r="E34" i="26"/>
  <c r="E34" i="25"/>
  <c r="E30" i="24"/>
  <c r="E30" i="23"/>
  <c r="E30" i="30"/>
  <c r="E30" i="29"/>
  <c r="E30" i="28"/>
  <c r="E30" i="27"/>
  <c r="E30" i="26"/>
  <c r="E30" i="25"/>
  <c r="E24" i="24"/>
  <c r="E24" i="28"/>
  <c r="E24" i="30"/>
  <c r="E24" i="29"/>
  <c r="E24" i="27"/>
  <c r="E24" i="26"/>
  <c r="E24" i="23"/>
  <c r="E24" i="25"/>
  <c r="E20" i="24"/>
  <c r="E20" i="30"/>
  <c r="E20" i="29"/>
  <c r="E20" i="28"/>
  <c r="E20" i="27"/>
  <c r="E20" i="26"/>
  <c r="E20" i="25"/>
  <c r="E20" i="23"/>
  <c r="E16" i="24"/>
  <c r="E16" i="30"/>
  <c r="E16" i="29"/>
  <c r="E16" i="28"/>
  <c r="E16" i="27"/>
  <c r="E16" i="23"/>
  <c r="E16" i="26"/>
  <c r="E16" i="25"/>
  <c r="E11" i="24"/>
  <c r="E11" i="29"/>
  <c r="E11" i="28"/>
  <c r="E11" i="23"/>
  <c r="E11" i="30"/>
  <c r="E11" i="25"/>
  <c r="E11" i="26"/>
  <c r="E11" i="27"/>
  <c r="E7" i="24"/>
  <c r="E7" i="23"/>
  <c r="E7" i="29"/>
  <c r="E7" i="28"/>
  <c r="E7" i="30"/>
  <c r="E7" i="27"/>
  <c r="E7" i="26"/>
  <c r="E7" i="25"/>
  <c r="J34" i="29"/>
  <c r="G53" i="1"/>
  <c r="K19" i="27"/>
  <c r="K14" i="27"/>
  <c r="K24" i="27"/>
  <c r="J8" i="29"/>
  <c r="K30" i="27"/>
  <c r="K27" i="27"/>
  <c r="J29" i="29"/>
  <c r="L11" i="28"/>
  <c r="G88" i="1"/>
  <c r="K5" i="27"/>
  <c r="K32" i="27"/>
  <c r="J12" i="29"/>
  <c r="J18" i="29"/>
  <c r="J32" i="29"/>
  <c r="J35" i="29"/>
  <c r="J19" i="29"/>
  <c r="J9" i="29"/>
  <c r="J17" i="29"/>
  <c r="J30" i="29"/>
  <c r="J14" i="29"/>
  <c r="J16" i="29"/>
  <c r="J31" i="29"/>
  <c r="J7" i="29"/>
  <c r="J5" i="29"/>
  <c r="J26" i="29"/>
  <c r="J21" i="29"/>
  <c r="J23" i="29"/>
  <c r="J13" i="29"/>
  <c r="J27" i="29"/>
  <c r="L31" i="25"/>
  <c r="L23" i="25"/>
  <c r="L17" i="25"/>
  <c r="L9" i="25"/>
  <c r="L5" i="25"/>
  <c r="L27" i="25"/>
  <c r="L14" i="25"/>
  <c r="L30" i="25"/>
  <c r="L21" i="25"/>
  <c r="L16" i="25"/>
  <c r="L7" i="25"/>
  <c r="L32" i="25"/>
  <c r="L26" i="25"/>
  <c r="L18" i="25"/>
  <c r="L13" i="25"/>
  <c r="L35" i="25"/>
  <c r="L19" i="25"/>
  <c r="K34" i="30"/>
  <c r="K15" i="30"/>
  <c r="K20" i="30"/>
  <c r="K33" i="30"/>
  <c r="K8" i="30"/>
  <c r="K22" i="30"/>
  <c r="G90" i="1"/>
  <c r="L34" i="28"/>
  <c r="G86" i="1"/>
  <c r="K15" i="27"/>
  <c r="G82" i="1"/>
  <c r="K34" i="27"/>
  <c r="G78" i="1"/>
  <c r="M22" i="26"/>
  <c r="M8" i="26"/>
  <c r="L15" i="25"/>
  <c r="L8" i="25"/>
  <c r="G74" i="1"/>
  <c r="L34" i="25"/>
  <c r="L5" i="28"/>
  <c r="L14" i="28"/>
  <c r="L18" i="28"/>
  <c r="L27" i="28"/>
  <c r="L17" i="28"/>
  <c r="L23" i="28"/>
  <c r="L21" i="28"/>
  <c r="L13" i="28"/>
  <c r="L19" i="28"/>
  <c r="L32" i="28"/>
  <c r="L26" i="28"/>
  <c r="L31" i="28"/>
  <c r="L16" i="28"/>
  <c r="L7" i="28"/>
  <c r="L30" i="28"/>
  <c r="L35" i="28"/>
  <c r="L9" i="28"/>
  <c r="K10" i="30"/>
  <c r="K6" i="30"/>
  <c r="L10" i="25"/>
  <c r="L6" i="25"/>
  <c r="K10" i="27"/>
  <c r="K6" i="27"/>
  <c r="M10" i="26"/>
  <c r="M6" i="26"/>
  <c r="K20" i="27"/>
  <c r="M33" i="26"/>
  <c r="K23" i="30"/>
  <c r="K7" i="30"/>
  <c r="K5" i="30"/>
  <c r="K9" i="30"/>
  <c r="K26" i="30"/>
  <c r="M13" i="26"/>
  <c r="M18" i="26"/>
  <c r="M31" i="26"/>
  <c r="G47" i="1"/>
  <c r="L24" i="25"/>
  <c r="J10" i="29"/>
  <c r="J6" i="29"/>
  <c r="L10" i="28"/>
  <c r="L6" i="28"/>
  <c r="L33" i="28"/>
  <c r="L22" i="25"/>
  <c r="K18" i="30"/>
  <c r="G63" i="1"/>
  <c r="K12" i="30"/>
  <c r="G59" i="1"/>
  <c r="L29" i="28"/>
  <c r="L24" i="28"/>
  <c r="M25" i="26"/>
  <c r="M24" i="26"/>
  <c r="M17" i="26"/>
  <c r="G51" i="1"/>
  <c r="L11" i="25"/>
  <c r="L12" i="25"/>
  <c r="L29" i="25"/>
  <c r="L33" i="25"/>
  <c r="M9" i="26"/>
  <c r="M27" i="26"/>
  <c r="M14" i="26"/>
  <c r="M15" i="26"/>
  <c r="M20" i="26"/>
  <c r="M11" i="26"/>
  <c r="M21" i="26"/>
  <c r="M35" i="26"/>
  <c r="K13" i="27"/>
  <c r="K18" i="27"/>
  <c r="K26" i="27"/>
  <c r="K35" i="27"/>
  <c r="K8" i="27"/>
  <c r="K33" i="27"/>
  <c r="K25" i="27"/>
  <c r="L25" i="28"/>
  <c r="L20" i="28"/>
  <c r="L15" i="28"/>
  <c r="L22" i="28"/>
  <c r="J22" i="29"/>
  <c r="J25" i="29"/>
  <c r="J15" i="29"/>
  <c r="J28" i="29"/>
  <c r="K21" i="30"/>
  <c r="K32" i="30"/>
  <c r="K29" i="30"/>
  <c r="K28" i="30"/>
  <c r="K19" i="30"/>
  <c r="K35" i="30"/>
  <c r="L28" i="25"/>
  <c r="L20" i="25"/>
  <c r="M5" i="26"/>
  <c r="M19" i="26"/>
  <c r="M26" i="26"/>
  <c r="M12" i="26"/>
  <c r="M28" i="26"/>
  <c r="M34" i="26"/>
  <c r="M29" i="26"/>
  <c r="K7" i="27"/>
  <c r="K16" i="27"/>
  <c r="K21" i="27"/>
  <c r="K31" i="27"/>
  <c r="K22" i="27"/>
  <c r="K11" i="27"/>
  <c r="K28" i="27"/>
  <c r="L8" i="28"/>
  <c r="L28" i="28"/>
  <c r="J33" i="29"/>
  <c r="J20" i="29"/>
  <c r="K13" i="30"/>
  <c r="K11" i="30"/>
  <c r="K27" i="30"/>
  <c r="K14" i="30"/>
  <c r="K30" i="30"/>
  <c r="L25" i="25"/>
  <c r="M7" i="26"/>
  <c r="M23" i="26"/>
  <c r="M30" i="26"/>
  <c r="M16" i="26"/>
  <c r="M32" i="26"/>
  <c r="K9" i="27"/>
  <c r="K17" i="27"/>
  <c r="K23" i="27"/>
  <c r="K12" i="27"/>
  <c r="L12" i="28"/>
  <c r="J11" i="29"/>
  <c r="J24" i="29"/>
  <c r="K17" i="30"/>
  <c r="K16" i="30"/>
  <c r="K25" i="30"/>
  <c r="K24" i="30"/>
  <c r="K31" i="30"/>
  <c r="I105" i="1"/>
  <c r="I106" i="1"/>
  <c r="I107" i="1"/>
  <c r="I108" i="1"/>
  <c r="I104" i="1"/>
  <c r="G105" i="1"/>
  <c r="G106" i="1"/>
  <c r="G107" i="1"/>
  <c r="G108" i="1"/>
  <c r="G104" i="1"/>
  <c r="F105" i="1"/>
  <c r="F106" i="1"/>
  <c r="F107" i="1"/>
  <c r="F108" i="1"/>
  <c r="F104" i="1"/>
  <c r="H68" i="1"/>
  <c r="G68" i="1" s="1"/>
  <c r="H69" i="1"/>
  <c r="G69" i="1" s="1"/>
  <c r="H70" i="1"/>
  <c r="H67" i="1"/>
  <c r="H40" i="1"/>
  <c r="H41" i="1"/>
  <c r="H42" i="1"/>
  <c r="H39" i="1"/>
  <c r="K37" i="30" l="1"/>
  <c r="J37" i="29"/>
  <c r="L37" i="28"/>
  <c r="K37" i="27"/>
  <c r="M37" i="26"/>
  <c r="L37" i="25"/>
  <c r="K6" i="23"/>
  <c r="K10" i="23"/>
  <c r="G67" i="1"/>
  <c r="K33" i="23"/>
  <c r="K15" i="23"/>
  <c r="K34" i="23"/>
  <c r="K20" i="23"/>
  <c r="K22" i="23"/>
  <c r="K8" i="23"/>
  <c r="J6" i="24"/>
  <c r="J10" i="24"/>
  <c r="G39" i="1"/>
  <c r="K24" i="23"/>
  <c r="K29" i="23"/>
  <c r="K12" i="23"/>
  <c r="K25" i="23"/>
  <c r="K28" i="23"/>
  <c r="K11" i="23"/>
  <c r="J28" i="24"/>
  <c r="J11" i="24"/>
  <c r="J12" i="24"/>
  <c r="J24" i="24"/>
  <c r="J29" i="24"/>
  <c r="J25" i="24"/>
  <c r="G70" i="1"/>
  <c r="J22" i="24"/>
  <c r="J34" i="24"/>
  <c r="J33" i="24"/>
  <c r="J8" i="24"/>
  <c r="J15" i="24"/>
  <c r="J20" i="24"/>
  <c r="I12" i="1"/>
  <c r="I13" i="1"/>
  <c r="I14" i="1"/>
  <c r="I15" i="1"/>
  <c r="I11" i="1"/>
  <c r="F67" i="1"/>
  <c r="G11" i="1"/>
  <c r="F11" i="1"/>
  <c r="G13" i="1"/>
  <c r="G14" i="1"/>
  <c r="G15" i="1"/>
  <c r="G12" i="1"/>
  <c r="I4" i="10"/>
  <c r="I5" i="10" s="1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3" i="10"/>
  <c r="F3" i="10"/>
  <c r="F4" i="10" s="1"/>
  <c r="F5" i="10" s="1"/>
  <c r="F6" i="10" s="1"/>
  <c r="F7" i="10" s="1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F30" i="10" s="1"/>
  <c r="S17" i="31" l="1"/>
  <c r="D34" i="31" s="1"/>
  <c r="O17" i="31"/>
  <c r="R17" i="31"/>
  <c r="D33" i="31" s="1"/>
  <c r="J21" i="24"/>
  <c r="J31" i="24"/>
  <c r="K35" i="23"/>
  <c r="K27" i="23"/>
  <c r="K19" i="23"/>
  <c r="K9" i="23"/>
  <c r="K7" i="23"/>
  <c r="J14" i="24"/>
  <c r="J32" i="24"/>
  <c r="J13" i="24"/>
  <c r="K17" i="23"/>
  <c r="J18" i="24"/>
  <c r="J17" i="24"/>
  <c r="J27" i="24"/>
  <c r="J7" i="24"/>
  <c r="K31" i="23"/>
  <c r="K26" i="23"/>
  <c r="K18" i="23"/>
  <c r="K14" i="23"/>
  <c r="J23" i="24"/>
  <c r="J26" i="24"/>
  <c r="J19" i="24"/>
  <c r="J16" i="24"/>
  <c r="J9" i="24"/>
  <c r="K30" i="23"/>
  <c r="K21" i="23"/>
  <c r="K16" i="23"/>
  <c r="K13" i="23"/>
  <c r="J30" i="24"/>
  <c r="J35" i="24"/>
  <c r="J5" i="24"/>
  <c r="K32" i="23"/>
  <c r="K23" i="23"/>
  <c r="K5" i="23"/>
  <c r="E2" i="15"/>
  <c r="F25" i="4"/>
  <c r="F30" i="4"/>
  <c r="F26" i="4"/>
  <c r="F27" i="4"/>
  <c r="F28" i="4"/>
  <c r="F29" i="4"/>
  <c r="F31" i="4"/>
  <c r="F32" i="4"/>
  <c r="F34" i="4"/>
  <c r="F35" i="4"/>
  <c r="F36" i="4"/>
  <c r="F37" i="4"/>
  <c r="F38" i="4"/>
  <c r="F39" i="4"/>
  <c r="F40" i="4"/>
  <c r="F41" i="4"/>
  <c r="F42" i="4"/>
  <c r="F43" i="4"/>
  <c r="F44" i="4"/>
  <c r="F45" i="4"/>
  <c r="F47" i="4"/>
  <c r="E5" i="24" l="1"/>
  <c r="E5" i="30"/>
  <c r="E5" i="29"/>
  <c r="E5" i="28"/>
  <c r="E5" i="27"/>
  <c r="E5" i="26"/>
  <c r="E5" i="25"/>
  <c r="E5" i="23"/>
  <c r="I2" i="32"/>
  <c r="H2" i="32"/>
  <c r="D30" i="31"/>
  <c r="E2" i="32"/>
  <c r="J37" i="24"/>
  <c r="K38" i="23"/>
  <c r="V17" i="31" s="1"/>
  <c r="D37" i="31" s="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L2" i="32" l="1"/>
  <c r="Q17" i="31"/>
  <c r="U17" i="31"/>
  <c r="P17" i="31"/>
  <c r="T17" i="31"/>
  <c r="K17" i="31"/>
  <c r="N17" i="31"/>
  <c r="D2" i="32" s="1"/>
  <c r="L17" i="31"/>
  <c r="M17" i="3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G40" i="1"/>
  <c r="G42" i="1"/>
  <c r="G41" i="1"/>
  <c r="D32" i="31" l="1"/>
  <c r="G2" i="32"/>
  <c r="D36" i="31"/>
  <c r="K2" i="32"/>
  <c r="D35" i="31"/>
  <c r="J2" i="32"/>
  <c r="D31" i="31"/>
  <c r="F2" i="32"/>
  <c r="D28" i="31"/>
  <c r="C2" i="32"/>
  <c r="D27" i="31"/>
  <c r="B2" i="32"/>
  <c r="D26" i="31"/>
  <c r="A2" i="32"/>
  <c r="D29" i="31"/>
  <c r="C5" i="23"/>
  <c r="E27" i="31" l="1"/>
  <c r="E31" i="31"/>
  <c r="E35" i="31"/>
  <c r="E39" i="31"/>
  <c r="E28" i="31"/>
  <c r="E32" i="31"/>
  <c r="E36" i="31"/>
  <c r="E40" i="31"/>
  <c r="E29" i="31"/>
  <c r="E33" i="31"/>
  <c r="E37" i="31"/>
  <c r="E30" i="31"/>
  <c r="E34" i="31"/>
  <c r="E38" i="31"/>
  <c r="E26" i="31"/>
</calcChain>
</file>

<file path=xl/sharedStrings.xml><?xml version="1.0" encoding="utf-8"?>
<sst xmlns="http://schemas.openxmlformats.org/spreadsheetml/2006/main" count="954" uniqueCount="335">
  <si>
    <t>Show Name:</t>
  </si>
  <si>
    <t>Billy Elliot Musical</t>
  </si>
  <si>
    <t>Les Miserables</t>
  </si>
  <si>
    <t>Roald Dahl's Matilda the Musical</t>
  </si>
  <si>
    <t>Phanton of The Opera</t>
  </si>
  <si>
    <t>Thriller Live</t>
  </si>
  <si>
    <t>Total</t>
  </si>
  <si>
    <t>Price (£)</t>
  </si>
  <si>
    <t>Filled</t>
  </si>
  <si>
    <t>Empty</t>
  </si>
  <si>
    <t>Royal Court Theatre</t>
  </si>
  <si>
    <t>Southwark Playhouse</t>
  </si>
  <si>
    <t>National Theatre</t>
  </si>
  <si>
    <t>Union Theatre</t>
  </si>
  <si>
    <t>The Young Vic Theatre</t>
  </si>
  <si>
    <t>The Old Vic</t>
  </si>
  <si>
    <t>Victoria Palace Theatre</t>
  </si>
  <si>
    <t>Soho Theatre</t>
  </si>
  <si>
    <t>Venue</t>
  </si>
  <si>
    <t>Address</t>
  </si>
  <si>
    <t>50-51 Sloane Square
London SW1W 8AS
020 7565 5000</t>
  </si>
  <si>
    <t>77-85 Newington Causeway
London SE1 6BD
020 7407 0234</t>
  </si>
  <si>
    <t>Upper Ground
South Bank, London SE1 9PX
020 7452 3000</t>
  </si>
  <si>
    <t>204 Union Street
Southwark, London SE1 0LX
020 7261 9876</t>
  </si>
  <si>
    <t>66 The Cut
London SE1 8LZ
020 7922 2922</t>
  </si>
  <si>
    <t>The Cut
London SE1 8NB
0844 871 7628</t>
  </si>
  <si>
    <t>Victoria Street
London SW1E 5EA
0844 248 5000</t>
  </si>
  <si>
    <t>21 Dean Street
London W1D 3NE
020 7478 0100</t>
  </si>
  <si>
    <t>Pickup Point</t>
  </si>
  <si>
    <t>Rossmore Road</t>
  </si>
  <si>
    <t>St Paul's Cathedral</t>
  </si>
  <si>
    <t>Elephant &amp; Castle Station</t>
  </si>
  <si>
    <t>Lambeth North Station</t>
  </si>
  <si>
    <t>Park Plaza Westminister Bridge</t>
  </si>
  <si>
    <t>London Victoria Station</t>
  </si>
  <si>
    <t>Oxford Circus Station</t>
  </si>
  <si>
    <t>Number of seats?</t>
  </si>
  <si>
    <t>Total (£)</t>
  </si>
  <si>
    <t>Child Ticket Price</t>
  </si>
  <si>
    <t>Age</t>
  </si>
  <si>
    <r>
      <rPr>
        <sz val="11"/>
        <color rgb="FFFF0000"/>
        <rFont val="Calibri"/>
        <family val="2"/>
        <scheme val="minor"/>
      </rPr>
      <t>★★★★</t>
    </r>
    <r>
      <rPr>
        <sz val="11"/>
        <color theme="0"/>
        <rFont val="Calibri"/>
        <family val="2"/>
        <scheme val="minor"/>
      </rPr>
      <t>☆</t>
    </r>
  </si>
  <si>
    <r>
      <rPr>
        <sz val="11"/>
        <color rgb="FFFF0000"/>
        <rFont val="Calibri"/>
        <family val="2"/>
        <scheme val="minor"/>
      </rPr>
      <t>★★★</t>
    </r>
    <r>
      <rPr>
        <sz val="11"/>
        <color theme="0"/>
        <rFont val="Calibri"/>
        <family val="2"/>
        <scheme val="minor"/>
      </rPr>
      <t>☆☆</t>
    </r>
  </si>
  <si>
    <t>Name</t>
  </si>
  <si>
    <t>Type</t>
  </si>
  <si>
    <t>Trip Code</t>
  </si>
  <si>
    <t>Theatre Code</t>
  </si>
  <si>
    <t>Phile Peterson</t>
  </si>
  <si>
    <t>Kyle Harrison</t>
  </si>
  <si>
    <t>Renae Sinclair  </t>
  </si>
  <si>
    <t xml:space="preserve">Reggie Touchet </t>
  </si>
  <si>
    <t>Cassidy Ines</t>
  </si>
  <si>
    <t>Nakesha Parsley</t>
  </si>
  <si>
    <t>Joel Hasse</t>
  </si>
  <si>
    <t>Laci Soria  </t>
  </si>
  <si>
    <t>Stephani Priddy  </t>
  </si>
  <si>
    <t>Vallie Ellerbee</t>
  </si>
  <si>
    <t>Nieves Cantwell  </t>
  </si>
  <si>
    <t>Bryan Darcy</t>
  </si>
  <si>
    <t>Cristine Richards</t>
  </si>
  <si>
    <t>Kala Fling</t>
  </si>
  <si>
    <t>Silvana Quon</t>
  </si>
  <si>
    <t>Kiana Jenkinson</t>
  </si>
  <si>
    <t>Sumiko Hankinson  </t>
  </si>
  <si>
    <t xml:space="preserve">Crista Rieves </t>
  </si>
  <si>
    <t>Emerald Shea  </t>
  </si>
  <si>
    <t xml:space="preserve">Geraldine Bowe </t>
  </si>
  <si>
    <t xml:space="preserve">Oswaldo Ashurst </t>
  </si>
  <si>
    <t xml:space="preserve">Lorita Headen </t>
  </si>
  <si>
    <t>Elise Abdo  </t>
  </si>
  <si>
    <t>BB12</t>
  </si>
  <si>
    <t>ED32</t>
  </si>
  <si>
    <t>EO09</t>
  </si>
  <si>
    <t>VB13</t>
  </si>
  <si>
    <t>ER00</t>
  </si>
  <si>
    <t>RT54</t>
  </si>
  <si>
    <t>BB01</t>
  </si>
  <si>
    <t>NM76</t>
  </si>
  <si>
    <t>D43</t>
  </si>
  <si>
    <t>L00</t>
  </si>
  <si>
    <t>M01</t>
  </si>
  <si>
    <t>R01</t>
  </si>
  <si>
    <t>P99</t>
  </si>
  <si>
    <t>T15</t>
  </si>
  <si>
    <t>Personal Code</t>
  </si>
  <si>
    <t>M12</t>
  </si>
  <si>
    <t>M23</t>
  </si>
  <si>
    <t>M11</t>
  </si>
  <si>
    <t>M10</t>
  </si>
  <si>
    <t>M26</t>
  </si>
  <si>
    <t>Yes</t>
  </si>
  <si>
    <t>No</t>
  </si>
  <si>
    <t>Subscription Due</t>
  </si>
  <si>
    <t>Member</t>
  </si>
  <si>
    <t>Pay Date Due</t>
  </si>
  <si>
    <t>17 The Avenue, Aylesford, Kent ME20 7LQ, UK</t>
  </si>
  <si>
    <t>42 Newbold Walk, Manchester, Greater Manchester M15 6GP, UK</t>
  </si>
  <si>
    <t>Greyfriars Lane, Storrington, Pulborough, West Sussex RH20 4HE, UK</t>
  </si>
  <si>
    <t>Middle Street, Ilminster, Somerset TA19, UK</t>
  </si>
  <si>
    <t>5 Aird, Ardvasar, Isle of Skye, Highland IV45 8RN, UK</t>
  </si>
  <si>
    <t>5 Hawthorn Avenue, Sawston, Cambridge, Cambridgeshire CB22 3TE, UK</t>
  </si>
  <si>
    <t>2 New Council Houses, Brynteg, Isle of Anglesey LL78 8JN, UK</t>
  </si>
  <si>
    <t>346A Newton Road, Lowton, Warrington, Greater Manchester WA3 1JD, UK</t>
  </si>
  <si>
    <t>4 Popplestone Park, Brixton, Plymouth, Devon PL8 2DS, UK</t>
  </si>
  <si>
    <t>3 Holders Hill Crescent, London NW4 1NF, UK</t>
  </si>
  <si>
    <t>Beeston, Nottinghamshire NG9 9DN, UK</t>
  </si>
  <si>
    <t>39 Whinney Moor Way, Thrumpton, Retford, Nottinghamshire DN22, UK</t>
  </si>
  <si>
    <t>80 Bow Street, Langport, Somerset TA10 9PH, UK</t>
  </si>
  <si>
    <t>Grange Park, 10 Thurney Drive, Swindon SN5 6EP, UK</t>
  </si>
  <si>
    <t>40-42 Brunswick Square, The Brunswick, London WC1N 1AE, UK</t>
  </si>
  <si>
    <t>22 Mayburn Loan, Loanhead, Midlothian EH20 9EN, UK</t>
  </si>
  <si>
    <t>Drewell Road, Liverpool, Merseyside L18, UK</t>
  </si>
  <si>
    <t>14 Viking Close, Stamford Bridge, York, East Riding of Yorkshire YO41 1ER, UK</t>
  </si>
  <si>
    <t>73 Acre Road, Kingston upon Thames, Greater London KT2 6ET, UK</t>
  </si>
  <si>
    <t>46 Little Crosby Road, Little Crosby Village, Liverpool, Merseyside L23 4TR, UK</t>
  </si>
  <si>
    <t>11 Ballyaghran Park, Portstewart, Coleraine BT55 7SD, UK</t>
  </si>
  <si>
    <t>62D Chertsey Crescent, New Addington, Croydon, Greater London CR0 0DX, UK</t>
  </si>
  <si>
    <t>1 Fleetwith Close, West Bridgford, Nottingham, Nottinghamshire NG2 6RR, UK</t>
  </si>
  <si>
    <t>Union Theatre</t>
  </si>
  <si>
    <t>Soho Theatre</t>
  </si>
  <si>
    <t>Victoria Palace Theatre</t>
  </si>
  <si>
    <t>National Theatre</t>
  </si>
  <si>
    <t>Title</t>
  </si>
  <si>
    <t>Membership ID</t>
  </si>
  <si>
    <t>Mrs</t>
  </si>
  <si>
    <t>Ms</t>
  </si>
  <si>
    <t>Miss</t>
  </si>
  <si>
    <t>Mr</t>
  </si>
  <si>
    <t>Master</t>
  </si>
  <si>
    <t>CDWGWP7T</t>
  </si>
  <si>
    <t>3U8TQZAZ</t>
  </si>
  <si>
    <t>81MUHJBM</t>
  </si>
  <si>
    <t>PXY9OYH6</t>
  </si>
  <si>
    <t>EKA7RPCU</t>
  </si>
  <si>
    <t>FOJXVJ07</t>
  </si>
  <si>
    <t>HTVTQVMI</t>
  </si>
  <si>
    <t>WY036QLR</t>
  </si>
  <si>
    <t>TWEG1OFS</t>
  </si>
  <si>
    <t>62SF9KOM</t>
  </si>
  <si>
    <t>Z0OC3ZEA</t>
  </si>
  <si>
    <t>7S15PKQD</t>
  </si>
  <si>
    <t>483HX2QT</t>
  </si>
  <si>
    <t>LJPAU9Z6</t>
  </si>
  <si>
    <t>PL4XGLWM</t>
  </si>
  <si>
    <t>AMPHTRMK</t>
  </si>
  <si>
    <t>GSHI9801</t>
  </si>
  <si>
    <t>SHTY620L</t>
  </si>
  <si>
    <t>12ASD47A</t>
  </si>
  <si>
    <t>IYGZ1WJO</t>
  </si>
  <si>
    <t>YBRBGLPY</t>
  </si>
  <si>
    <t>M31</t>
  </si>
  <si>
    <t>01MSKWA8</t>
  </si>
  <si>
    <t>XYKGSWAO</t>
  </si>
  <si>
    <t>JKGVAZ3D</t>
  </si>
  <si>
    <t>FS62WNZE</t>
  </si>
  <si>
    <t>IMBJMDRE</t>
  </si>
  <si>
    <t>75JPGFEQ</t>
  </si>
  <si>
    <t>KES2QGZW</t>
  </si>
  <si>
    <t>DC33MSZR</t>
  </si>
  <si>
    <t>IMBCMH46</t>
  </si>
  <si>
    <t>Emily Newman</t>
  </si>
  <si>
    <t>Earnest Munoz</t>
  </si>
  <si>
    <t>Cora Sims</t>
  </si>
  <si>
    <t>Delia Mills</t>
  </si>
  <si>
    <t>Raymond Wright</t>
  </si>
  <si>
    <t>Velma Pratt</t>
  </si>
  <si>
    <t>Gretchen Cummings</t>
  </si>
  <si>
    <t>Mindy Obrien</t>
  </si>
  <si>
    <t>1 Virginia Street, London E1W, UK</t>
  </si>
  <si>
    <t>10 Shaftesbury Mount, Blackwater, Camberley, Hampshire GU17 9JR, UK</t>
  </si>
  <si>
    <t>12 Newbiggin Road, Grangemouth, Falkirk FK3 0LE, UK</t>
  </si>
  <si>
    <t>1 Mill Lane, King's Lynn, Norfolk PE32 2HT, UK</t>
  </si>
  <si>
    <t>18 Tollard Close, Poole BH12 4AU, UK</t>
  </si>
  <si>
    <t>91-92 Gainsborough Grove, Newcastle upon Tyne, Tyne and Wear NE4 5PJ, UK</t>
  </si>
  <si>
    <t>2 Murrayfield, Saint Abbs, Eyemouth, Scottish Borders TD14 5PP, UK</t>
  </si>
  <si>
    <t>1 Cleveland Avenue, Tywyn, Gwynedd LL36 9EG, UK</t>
  </si>
  <si>
    <t>M02</t>
  </si>
  <si>
    <t>M03</t>
  </si>
  <si>
    <t>M04</t>
  </si>
  <si>
    <t>M05</t>
  </si>
  <si>
    <t>M06</t>
  </si>
  <si>
    <t>M07</t>
  </si>
  <si>
    <t>M08</t>
  </si>
  <si>
    <t>M09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</si>
  <si>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</si>
  <si>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</si>
  <si>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</si>
  <si>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</si>
  <si>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</si>
  <si>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</si>
  <si>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</si>
  <si>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</si>
  <si>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</si>
  <si>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</si>
  <si>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M24</t>
  </si>
  <si>
    <t>M25</t>
  </si>
  <si>
    <t>M27</t>
  </si>
  <si>
    <t>M28</t>
  </si>
  <si>
    <t>M29</t>
  </si>
  <si>
    <t>M30</t>
  </si>
  <si>
    <t>Relative Item Position</t>
  </si>
  <si>
    <t>Student Discount Saving (10%)</t>
  </si>
  <si>
    <t>Senior / Benefits Discount Saving(17.50%)</t>
  </si>
  <si>
    <t>Coach 1</t>
  </si>
  <si>
    <t>Coach 2</t>
  </si>
  <si>
    <t>Coach 3</t>
  </si>
  <si>
    <t>Discount Given</t>
  </si>
  <si>
    <t>If 20+ seats booked, 20% discount</t>
  </si>
  <si>
    <t>Ticket Price</t>
  </si>
  <si>
    <t>Coach Available</t>
  </si>
  <si>
    <t>If 20+ seats booked, 5% discount</t>
  </si>
  <si>
    <t>Coach Seating Type</t>
  </si>
  <si>
    <t>TOTAL</t>
  </si>
  <si>
    <t>Adult</t>
  </si>
  <si>
    <t>Child</t>
  </si>
  <si>
    <t>Ticket Type</t>
  </si>
  <si>
    <t>Senior/Benefits</t>
  </si>
  <si>
    <t>Once the Musical</t>
  </si>
  <si>
    <t>Spamalot</t>
  </si>
  <si>
    <t>The Book of Mormon</t>
  </si>
  <si>
    <t>From Here to Eternity</t>
  </si>
  <si>
    <t>Mamma Mia!</t>
  </si>
  <si>
    <t>The Commitments</t>
  </si>
  <si>
    <t>Dirty Dancing</t>
  </si>
  <si>
    <t>Wicked</t>
  </si>
  <si>
    <t>Full Monty</t>
  </si>
  <si>
    <t>I Can't Sing! The X Factor Musical</t>
  </si>
  <si>
    <t>Once</t>
  </si>
  <si>
    <t>Matilda</t>
  </si>
  <si>
    <t>Stephen Ward</t>
  </si>
  <si>
    <t>Charlie and the Chocolate Factory</t>
  </si>
  <si>
    <t>Ghost</t>
  </si>
  <si>
    <t>The Lion King</t>
  </si>
  <si>
    <t>Aladdin Broadway</t>
  </si>
  <si>
    <t>Abba Mania</t>
  </si>
  <si>
    <t>Alien</t>
  </si>
  <si>
    <t>Aliens Love Underpants</t>
  </si>
  <si>
    <t>Romeo and Juliet</t>
  </si>
  <si>
    <t>T67</t>
  </si>
  <si>
    <t>R37</t>
  </si>
  <si>
    <t>W67</t>
  </si>
  <si>
    <t>A12</t>
  </si>
  <si>
    <t>C23</t>
  </si>
  <si>
    <t>L12</t>
  </si>
  <si>
    <t>B23</t>
  </si>
  <si>
    <t>V13</t>
  </si>
  <si>
    <t>V78</t>
  </si>
  <si>
    <t>Z00</t>
  </si>
  <si>
    <t>P12</t>
  </si>
  <si>
    <t>U42</t>
  </si>
  <si>
    <t>Y74</t>
  </si>
  <si>
    <t>T90</t>
  </si>
  <si>
    <t>G11</t>
  </si>
  <si>
    <t>F43</t>
  </si>
  <si>
    <t>J54</t>
  </si>
  <si>
    <t>L75</t>
  </si>
  <si>
    <t>K39</t>
  </si>
  <si>
    <t>V34</t>
  </si>
  <si>
    <t>D66</t>
  </si>
  <si>
    <t>Student</t>
  </si>
  <si>
    <t>Venue Rating</t>
  </si>
  <si>
    <t>Venue Location</t>
  </si>
  <si>
    <t>Coach Price</t>
  </si>
  <si>
    <t>Theatre Price</t>
  </si>
  <si>
    <t>Roal court Theatre</t>
  </si>
  <si>
    <t>Southward</t>
  </si>
  <si>
    <t>The young Vic Theatre</t>
  </si>
  <si>
    <t>Old Vic</t>
  </si>
  <si>
    <t>Adults</t>
  </si>
  <si>
    <t>Students</t>
  </si>
  <si>
    <t>Theatre Prices</t>
  </si>
  <si>
    <t>Coach Prices</t>
  </si>
  <si>
    <t>Seniors/Benefits</t>
  </si>
  <si>
    <r>
      <t xml:space="preserve">RIA VIEW THEATRE CLUB - </t>
    </r>
    <r>
      <rPr>
        <b/>
        <i/>
        <sz val="18"/>
        <rFont val="Calibri"/>
        <family val="2"/>
        <scheme val="minor"/>
      </rPr>
      <t>Royal Court Theatre</t>
    </r>
  </si>
  <si>
    <r>
      <t>Available Theatre Shows</t>
    </r>
    <r>
      <rPr>
        <sz val="12"/>
        <color rgb="FFFFFF00"/>
        <rFont val="Andalus"/>
        <family val="1"/>
      </rPr>
      <t xml:space="preserve"> </t>
    </r>
    <r>
      <rPr>
        <b/>
        <sz val="16"/>
        <color rgb="FFFFFF00"/>
        <rFont val="Andalus"/>
        <family val="1"/>
      </rPr>
      <t>(Select)</t>
    </r>
  </si>
  <si>
    <r>
      <t xml:space="preserve">RIA VIEW THEATRE CLUB - </t>
    </r>
    <r>
      <rPr>
        <b/>
        <i/>
        <sz val="18"/>
        <color theme="1"/>
        <rFont val="Calibri"/>
        <family val="2"/>
        <scheme val="minor"/>
      </rPr>
      <t>Southwark Playhouse</t>
    </r>
  </si>
  <si>
    <r>
      <t xml:space="preserve">RIA VIEW THEATRE CLUB - </t>
    </r>
    <r>
      <rPr>
        <b/>
        <i/>
        <sz val="18"/>
        <color theme="1"/>
        <rFont val="Calibri"/>
        <family val="2"/>
        <scheme val="minor"/>
      </rPr>
      <t>National Theatre</t>
    </r>
  </si>
  <si>
    <r>
      <rPr>
        <sz val="18"/>
        <color theme="1"/>
        <rFont val="Calibri"/>
        <family val="2"/>
        <scheme val="minor"/>
      </rPr>
      <t xml:space="preserve">RIA VIEW THEATRE CLUB - </t>
    </r>
    <r>
      <rPr>
        <b/>
        <i/>
        <sz val="18"/>
        <color theme="1"/>
        <rFont val="Calibri"/>
        <family val="2"/>
        <scheme val="minor"/>
      </rPr>
      <t>Union Theatre</t>
    </r>
  </si>
  <si>
    <r>
      <t xml:space="preserve">RIA VIEW THEATRE CLUB - </t>
    </r>
    <r>
      <rPr>
        <b/>
        <i/>
        <sz val="18"/>
        <color theme="1"/>
        <rFont val="Calibri"/>
        <family val="2"/>
        <scheme val="minor"/>
      </rPr>
      <t>The Young Vic Theatre</t>
    </r>
  </si>
  <si>
    <r>
      <t xml:space="preserve">RIA VIEW THEATRE CLUB - </t>
    </r>
    <r>
      <rPr>
        <b/>
        <i/>
        <sz val="18"/>
        <color theme="1"/>
        <rFont val="Calibri"/>
        <family val="2"/>
        <scheme val="minor"/>
      </rPr>
      <t>The Old Vic</t>
    </r>
  </si>
  <si>
    <r>
      <t xml:space="preserve">RIA VIEW THEATRE CLUB - </t>
    </r>
    <r>
      <rPr>
        <b/>
        <i/>
        <sz val="18"/>
        <color theme="1"/>
        <rFont val="Calibri"/>
        <family val="2"/>
        <scheme val="minor"/>
      </rPr>
      <t>Victoria Palace Theatre</t>
    </r>
  </si>
  <si>
    <r>
      <t xml:space="preserve">RIA VIEW THEATRE CLUB - </t>
    </r>
    <r>
      <rPr>
        <b/>
        <i/>
        <sz val="18"/>
        <color theme="1"/>
        <rFont val="Calibri"/>
        <family val="2"/>
        <scheme val="minor"/>
      </rPr>
      <t>Soho Theatre</t>
    </r>
  </si>
  <si>
    <t>annually</t>
  </si>
  <si>
    <t>monthly</t>
  </si>
  <si>
    <t>quarterly</t>
  </si>
  <si>
    <t>Venue Opening Months:</t>
  </si>
  <si>
    <t>January</t>
  </si>
  <si>
    <t>Feb</t>
  </si>
  <si>
    <t>Jan</t>
  </si>
  <si>
    <t>March</t>
  </si>
  <si>
    <t>April</t>
  </si>
  <si>
    <t>May</t>
  </si>
  <si>
    <t>June</t>
  </si>
  <si>
    <t>Jul</t>
  </si>
  <si>
    <t>Sept</t>
  </si>
  <si>
    <t>February</t>
  </si>
  <si>
    <t>July</t>
  </si>
  <si>
    <t>August</t>
  </si>
  <si>
    <t>September</t>
  </si>
  <si>
    <t>October</t>
  </si>
  <si>
    <t>November</t>
  </si>
  <si>
    <t>December</t>
  </si>
  <si>
    <t>✓</t>
  </si>
  <si>
    <r>
      <t xml:space="preserve">Number of seats? </t>
    </r>
    <r>
      <rPr>
        <sz val="14"/>
        <color rgb="FFFF0000"/>
        <rFont val="Calibri"/>
        <family val="2"/>
        <scheme val="minor"/>
      </rPr>
      <t>(SELECT)</t>
    </r>
  </si>
  <si>
    <t>Mar</t>
  </si>
  <si>
    <t>Apr</t>
  </si>
  <si>
    <t>Jun</t>
  </si>
  <si>
    <t>Aug</t>
  </si>
  <si>
    <t>Oct</t>
  </si>
  <si>
    <t>Nov</t>
  </si>
  <si>
    <t>Dec</t>
  </si>
  <si>
    <t>Cost of Trips per Month</t>
  </si>
  <si>
    <t>Sum of Jan</t>
  </si>
  <si>
    <t>Sum of Feb</t>
  </si>
  <si>
    <t>Sum of Mar</t>
  </si>
  <si>
    <t>Sum of Apr</t>
  </si>
  <si>
    <t>Sum of May</t>
  </si>
  <si>
    <t>Sum of Jun</t>
  </si>
  <si>
    <t>Sum of Jul</t>
  </si>
  <si>
    <t>Sum of Aug</t>
  </si>
  <si>
    <t>Sum of Sept</t>
  </si>
  <si>
    <t>Sum of Oct</t>
  </si>
  <si>
    <t>Sum of Nov</t>
  </si>
  <si>
    <t>Sum of Dec</t>
  </si>
  <si>
    <t>Forecast</t>
  </si>
  <si>
    <t>The Young Vic Theatre</t>
  </si>
  <si>
    <t>Key</t>
  </si>
  <si>
    <t>Months</t>
  </si>
  <si>
    <t>Month #</t>
  </si>
  <si>
    <t>Revenue</t>
  </si>
  <si>
    <t>Category</t>
  </si>
  <si>
    <t>Sum of Month #</t>
  </si>
  <si>
    <t>Row Labels</t>
  </si>
  <si>
    <t>Grand Total</t>
  </si>
  <si>
    <t>(blank)</t>
  </si>
  <si>
    <t>Sum of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</si>
</sst>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£&quot;#,##0;[Red]\-&quot;£&quot;#,##0"/>
    <numFmt numFmtId="8" formatCode="&quot;£&quot;#,##0.00;[Red]\-&quot;£&quot;#,##0.00"/>
    <numFmt numFmtId="164" formatCode="&quot;£&quot;#,##0.00"/>
    <numFmt numFmtId="165" formatCode="[$-409]h:mm\ AM/PM;@"/>
  </numFmts>
  <fonts count="58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Andalus"/>
      <family val="1"/>
    </font>
    <font>
      <b/>
      <sz val="14"/>
      <color rgb="FFFF0000"/>
      <name val="Calibri"/>
      <family val="2"/>
      <scheme val="minor"/>
    </font>
    <font>
      <b/>
      <sz val="11"/>
      <color theme="0"/>
      <name val="Batang"/>
      <family val="1"/>
    </font>
    <font>
      <sz val="12"/>
      <color rgb="FF000000"/>
      <name val="Courier New"/>
      <family val="3"/>
    </font>
    <font>
      <sz val="12"/>
      <name val="Courier New"/>
      <family val="3"/>
    </font>
    <font>
      <sz val="11"/>
      <name val="Courier New"/>
      <family val="3"/>
    </font>
    <font>
      <b/>
      <sz val="12"/>
      <color rgb="FF58585A"/>
      <name val="Courier New"/>
      <family val="3"/>
    </font>
    <font>
      <b/>
      <u/>
      <sz val="12"/>
      <color rgb="FFFF0000"/>
      <name val="Courier New"/>
      <family val="3"/>
    </font>
    <font>
      <b/>
      <sz val="12"/>
      <color rgb="FF000000"/>
      <name val="Courier New"/>
      <family val="3"/>
    </font>
    <font>
      <b/>
      <sz val="11"/>
      <color rgb="FF000000"/>
      <name val="Courier New"/>
      <family val="3"/>
    </font>
    <font>
      <sz val="11"/>
      <color rgb="FF000000"/>
      <name val="Courier New"/>
      <family val="3"/>
    </font>
    <font>
      <sz val="11"/>
      <color theme="1"/>
      <name val="Courier New"/>
      <family val="3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7"/>
      <name val="Cambria"/>
      <family val="2"/>
      <scheme val="major"/>
    </font>
    <font>
      <b/>
      <i/>
      <u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sz val="11"/>
      <color rgb="FFFF0000"/>
      <name val="Courier New"/>
      <family val="3"/>
    </font>
    <font>
      <sz val="18"/>
      <name val="Calibri"/>
      <family val="2"/>
      <scheme val="minor"/>
    </font>
    <font>
      <b/>
      <i/>
      <sz val="18"/>
      <name val="Calibri"/>
      <family val="2"/>
      <scheme val="minor"/>
    </font>
    <font>
      <sz val="12"/>
      <color rgb="FFFFFF00"/>
      <name val="Andalus"/>
      <family val="1"/>
    </font>
    <font>
      <b/>
      <sz val="16"/>
      <color rgb="FFFFFF00"/>
      <name val="Andalus"/>
      <family val="1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sz val="10"/>
      <color rgb="FFFF0000"/>
      <name val="MS Mincho"/>
      <family val="3"/>
    </font>
    <font>
      <b/>
      <u/>
      <sz val="11"/>
      <color theme="1"/>
      <name val="Batang"/>
      <family val="1"/>
    </font>
    <font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8"/>
      <name val="Batang"/>
      <family val="1"/>
    </font>
    <font>
      <u/>
      <sz val="11"/>
      <color rgb="FFFFFF00"/>
      <name val="Calibri"/>
      <family val="2"/>
      <scheme val="minor"/>
    </font>
    <font>
      <sz val="18"/>
      <color theme="0"/>
      <name val="Cambria"/>
      <family val="1"/>
      <scheme val="major"/>
    </font>
    <font>
      <sz val="12"/>
      <color rgb="FF000000"/>
      <name val="Calisto MT"/>
      <family val="1"/>
    </font>
    <font>
      <sz val="12"/>
      <color rgb="FF000000"/>
      <name val="Segoe Print"/>
    </font>
    <font>
      <b/>
      <sz val="13"/>
      <color theme="3"/>
      <name val="Calibri"/>
      <family val="2"/>
      <scheme val="minor"/>
    </font>
    <font>
      <b/>
      <sz val="14"/>
      <color theme="3"/>
      <name val="Cambria"/>
      <family val="2"/>
      <scheme val="major"/>
    </font>
    <font>
      <sz val="22"/>
      <color theme="0"/>
      <name val="Calibri"/>
      <family val="2"/>
      <scheme val="minor"/>
    </font>
    <font>
      <sz val="12"/>
      <color theme="1"/>
      <name val="Cambria"/>
      <family val="1"/>
      <scheme val="major"/>
    </font>
    <font>
      <b/>
      <sz val="14"/>
      <color rgb="FFFF0000"/>
      <name val="Cambria"/>
      <family val="2"/>
      <scheme val="maj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48">
    <border>
      <left/>
      <right/>
      <top/>
      <bottom/>
      <diagonal/>
    </border>
    <border>
      <left/>
      <right/>
      <top style="thin">
        <color indexed="55"/>
      </top>
      <bottom style="medium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ck">
        <color rgb="FFFF0000"/>
      </right>
      <top style="thin">
        <color rgb="FF7F7F7F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ck">
        <color rgb="FFFF0000"/>
      </right>
      <top style="thin">
        <color rgb="FF7F7F7F"/>
      </top>
      <bottom/>
      <diagonal/>
    </border>
    <border>
      <left style="thin">
        <color auto="1"/>
      </left>
      <right style="thin">
        <color auto="1"/>
      </right>
      <top style="thin">
        <color indexed="55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indexed="55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DashDot">
        <color auto="1"/>
      </left>
      <right style="mediumDashDot">
        <color auto="1"/>
      </right>
      <top/>
      <bottom style="mediumDashDot">
        <color auto="1"/>
      </bottom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/>
      <diagonal/>
    </border>
    <border>
      <left style="mediumDashDotDot">
        <color auto="1"/>
      </left>
      <right style="mediumDashDotDot">
        <color auto="1"/>
      </right>
      <top style="mediumDashDotDot">
        <color auto="1"/>
      </top>
      <bottom style="mediumDashDot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>
      <left/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auto="1"/>
      </left>
      <right/>
      <top style="thin">
        <color indexed="55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rgb="FFFF0000"/>
      </right>
      <top style="thin">
        <color indexed="55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ck">
        <color rgb="FFFF0000"/>
      </right>
      <top style="thin">
        <color rgb="FFB2B2B2"/>
      </top>
      <bottom/>
      <diagonal/>
    </border>
    <border>
      <left/>
      <right style="thick">
        <color rgb="FFFF0000"/>
      </right>
      <top/>
      <bottom/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thin">
        <color auto="1"/>
      </right>
      <top style="thin">
        <color indexed="55"/>
      </top>
      <bottom style="thin">
        <color auto="1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thin">
        <color rgb="FF7F7F7F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/>
      <top/>
      <bottom/>
      <diagonal/>
    </border>
    <border>
      <left style="thick">
        <color rgb="FFFF0000"/>
      </left>
      <right/>
      <top/>
      <bottom style="thin">
        <color rgb="FF7F7F7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0" borderId="4" applyNumberFormat="0" applyFill="0" applyAlignment="0" applyProtection="0"/>
    <xf numFmtId="0" fontId="10" fillId="6" borderId="0" applyNumberFormat="0" applyBorder="0" applyAlignment="0" applyProtection="0"/>
    <xf numFmtId="0" fontId="2" fillId="7" borderId="0" applyNumberFormat="0" applyBorder="0" applyAlignment="0" applyProtection="0"/>
    <xf numFmtId="0" fontId="10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2" fillId="14" borderId="0" applyNumberFormat="0" applyBorder="0" applyAlignment="0" applyProtection="0"/>
    <xf numFmtId="0" fontId="23" fillId="5" borderId="23" applyNumberFormat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0" fillId="22" borderId="0" applyNumberFormat="0" applyBorder="0" applyAlignment="0" applyProtection="0"/>
    <xf numFmtId="0" fontId="53" fillId="0" borderId="42" applyNumberFormat="0" applyFill="0" applyAlignment="0" applyProtection="0"/>
    <xf numFmtId="0" fontId="2" fillId="24" borderId="13" applyNumberFormat="0" applyFont="0" applyAlignment="0" applyProtection="0"/>
    <xf numFmtId="0" fontId="10" fillId="25" borderId="0" applyNumberFormat="0" applyBorder="0" applyAlignment="0" applyProtection="0"/>
  </cellStyleXfs>
  <cellXfs count="192">
    <xf numFmtId="0" fontId="0" fillId="0" borderId="0" xfId="0"/>
    <xf numFmtId="20" fontId="0" fillId="0" borderId="0" xfId="0" applyNumberFormat="1"/>
    <xf numFmtId="0" fontId="6" fillId="0" borderId="0" xfId="2"/>
    <xf numFmtId="0" fontId="4" fillId="0" borderId="0" xfId="0" applyFont="1" applyFill="1" applyAlignment="1">
      <alignment horizontal="center" vertical="center"/>
    </xf>
    <xf numFmtId="0" fontId="8" fillId="4" borderId="0" xfId="4" applyAlignment="1">
      <alignment horizontal="center" vertical="center"/>
    </xf>
    <xf numFmtId="0" fontId="10" fillId="13" borderId="14" xfId="13" applyBorder="1" applyAlignment="1">
      <alignment horizontal="center" vertical="center"/>
    </xf>
    <xf numFmtId="0" fontId="10" fillId="13" borderId="14" xfId="13" applyBorder="1" applyAlignment="1">
      <alignment horizontal="center" vertical="center" wrapText="1"/>
    </xf>
    <xf numFmtId="0" fontId="10" fillId="13" borderId="15" xfId="13" applyBorder="1" applyAlignment="1">
      <alignment horizontal="center" vertical="center"/>
    </xf>
    <xf numFmtId="0" fontId="10" fillId="13" borderId="15" xfId="13" applyBorder="1" applyAlignment="1">
      <alignment horizontal="center" vertical="center" wrapText="1"/>
    </xf>
    <xf numFmtId="0" fontId="10" fillId="13" borderId="16" xfId="13" applyBorder="1" applyAlignment="1">
      <alignment horizontal="center" vertical="center"/>
    </xf>
    <xf numFmtId="0" fontId="10" fillId="13" borderId="16" xfId="13" applyBorder="1" applyAlignment="1">
      <alignment horizontal="center" vertical="center" wrapText="1"/>
    </xf>
    <xf numFmtId="0" fontId="10" fillId="12" borderId="0" xfId="12"/>
    <xf numFmtId="0" fontId="7" fillId="3" borderId="2" xfId="3" applyBorder="1" applyAlignment="1">
      <alignment horizontal="center" vertical="center"/>
    </xf>
    <xf numFmtId="0" fontId="11" fillId="8" borderId="17" xfId="8" applyFont="1" applyBorder="1" applyAlignment="1">
      <alignment horizontal="center"/>
    </xf>
    <xf numFmtId="0" fontId="11" fillId="8" borderId="17" xfId="8" applyFont="1" applyBorder="1" applyAlignment="1">
      <alignment horizontal="center" vertical="center"/>
    </xf>
    <xf numFmtId="0" fontId="10" fillId="13" borderId="18" xfId="13" applyBorder="1" applyAlignment="1">
      <alignment horizontal="center" vertical="center"/>
    </xf>
    <xf numFmtId="0" fontId="10" fillId="13" borderId="19" xfId="13" applyBorder="1" applyAlignment="1">
      <alignment horizontal="center" vertical="center"/>
    </xf>
    <xf numFmtId="0" fontId="10" fillId="13" borderId="20" xfId="13" applyBorder="1" applyAlignment="1">
      <alignment horizontal="center" vertical="center"/>
    </xf>
    <xf numFmtId="0" fontId="13" fillId="13" borderId="17" xfId="13" applyFont="1" applyBorder="1" applyAlignment="1">
      <alignment horizontal="center" vertical="center"/>
    </xf>
    <xf numFmtId="0" fontId="10" fillId="12" borderId="0" xfId="12" applyAlignment="1"/>
    <xf numFmtId="0" fontId="10" fillId="12" borderId="0" xfId="12" applyAlignment="1"/>
    <xf numFmtId="0" fontId="10" fillId="12" borderId="0" xfId="12" applyAlignment="1"/>
    <xf numFmtId="0" fontId="10" fillId="12" borderId="0" xfId="12" applyAlignment="1"/>
    <xf numFmtId="0" fontId="0" fillId="16" borderId="0" xfId="0" applyFill="1"/>
    <xf numFmtId="0" fontId="10" fillId="16" borderId="0" xfId="12" applyFill="1" applyAlignment="1"/>
    <xf numFmtId="0" fontId="1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6" fillId="0" borderId="0" xfId="12" applyFont="1" applyFill="1" applyBorder="1" applyAlignment="1">
      <alignment horizontal="center" vertical="center"/>
    </xf>
    <xf numFmtId="0" fontId="18" fillId="15" borderId="0" xfId="12" applyFont="1" applyFill="1" applyBorder="1" applyAlignment="1">
      <alignment horizontal="left" vertical="center"/>
    </xf>
    <xf numFmtId="0" fontId="10" fillId="12" borderId="0" xfId="12" applyAlignment="1"/>
    <xf numFmtId="0" fontId="7" fillId="3" borderId="2" xfId="3" applyBorder="1"/>
    <xf numFmtId="0" fontId="6" fillId="0" borderId="0" xfId="2" applyAlignment="1">
      <alignment horizontal="center" vertical="center"/>
    </xf>
    <xf numFmtId="0" fontId="12" fillId="0" borderId="0" xfId="0" applyFont="1"/>
    <xf numFmtId="0" fontId="26" fillId="0" borderId="0" xfId="0" applyFont="1"/>
    <xf numFmtId="0" fontId="15" fillId="0" borderId="0" xfId="0" applyFont="1" applyBorder="1" applyAlignment="1">
      <alignment vertical="center"/>
    </xf>
    <xf numFmtId="0" fontId="0" fillId="0" borderId="0" xfId="0" applyFont="1" applyBorder="1"/>
    <xf numFmtId="0" fontId="14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7" fillId="3" borderId="2" xfId="3" applyBorder="1" applyAlignment="1">
      <alignment vertical="center"/>
    </xf>
    <xf numFmtId="0" fontId="7" fillId="3" borderId="6" xfId="3" applyBorder="1" applyAlignment="1">
      <alignment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21" borderId="0" xfId="6" applyFont="1" applyFill="1" applyAlignment="1"/>
    <xf numFmtId="0" fontId="30" fillId="21" borderId="3" xfId="6" applyFont="1" applyFill="1" applyBorder="1" applyAlignment="1">
      <alignment horizontal="center" vertical="center"/>
    </xf>
    <xf numFmtId="8" fontId="30" fillId="21" borderId="3" xfId="6" applyNumberFormat="1" applyFont="1" applyFill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32" fillId="2" borderId="1" xfId="1" applyFont="1" applyFill="1" applyBorder="1" applyAlignment="1">
      <alignment horizontal="center" vertical="center"/>
    </xf>
    <xf numFmtId="164" fontId="30" fillId="11" borderId="21" xfId="11" applyNumberFormat="1" applyFont="1" applyBorder="1" applyAlignment="1">
      <alignment horizontal="center" vertical="center"/>
    </xf>
    <xf numFmtId="164" fontId="34" fillId="11" borderId="21" xfId="11" applyNumberFormat="1" applyFont="1" applyBorder="1" applyAlignment="1">
      <alignment horizontal="center" vertical="center"/>
    </xf>
    <xf numFmtId="164" fontId="27" fillId="11" borderId="26" xfId="11" applyNumberFormat="1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9" borderId="29" xfId="9" applyFont="1" applyBorder="1" applyAlignment="1" applyProtection="1">
      <alignment horizontal="center" vertical="center"/>
      <protection locked="0"/>
    </xf>
    <xf numFmtId="0" fontId="27" fillId="12" borderId="0" xfId="12" applyFont="1" applyAlignment="1"/>
    <xf numFmtId="0" fontId="27" fillId="16" borderId="0" xfId="12" applyFont="1" applyFill="1" applyAlignment="1"/>
    <xf numFmtId="0" fontId="27" fillId="12" borderId="0" xfId="12" applyFont="1" applyAlignment="1">
      <alignment horizontal="center" vertical="center"/>
    </xf>
    <xf numFmtId="0" fontId="28" fillId="16" borderId="0" xfId="0" applyFont="1" applyFill="1"/>
    <xf numFmtId="0" fontId="27" fillId="12" borderId="0" xfId="12" applyFont="1"/>
    <xf numFmtId="0" fontId="27" fillId="0" borderId="28" xfId="12" applyFont="1" applyFill="1" applyBorder="1" applyAlignment="1">
      <alignment horizontal="center"/>
    </xf>
    <xf numFmtId="164" fontId="33" fillId="5" borderId="0" xfId="5" applyNumberFormat="1" applyFont="1" applyFill="1" applyBorder="1" applyAlignment="1">
      <alignment horizontal="center" vertical="center"/>
    </xf>
    <xf numFmtId="164" fontId="30" fillId="5" borderId="0" xfId="5" applyNumberFormat="1" applyFont="1" applyFill="1" applyBorder="1" applyAlignment="1">
      <alignment horizontal="center" vertical="center"/>
    </xf>
    <xf numFmtId="0" fontId="10" fillId="12" borderId="0" xfId="12" applyBorder="1" applyAlignment="1">
      <alignment horizontal="left" vertical="center"/>
    </xf>
    <xf numFmtId="0" fontId="10" fillId="12" borderId="0" xfId="12" applyBorder="1" applyAlignment="1">
      <alignment vertical="center"/>
    </xf>
    <xf numFmtId="0" fontId="28" fillId="7" borderId="30" xfId="7" applyFont="1" applyBorder="1"/>
    <xf numFmtId="0" fontId="28" fillId="17" borderId="30" xfId="16" applyFont="1" applyBorder="1"/>
    <xf numFmtId="0" fontId="28" fillId="18" borderId="30" xfId="17" applyFont="1" applyBorder="1"/>
    <xf numFmtId="0" fontId="28" fillId="19" borderId="30" xfId="18" applyFont="1" applyBorder="1"/>
    <xf numFmtId="0" fontId="28" fillId="20" borderId="30" xfId="19" applyFont="1" applyBorder="1"/>
    <xf numFmtId="0" fontId="28" fillId="20" borderId="30" xfId="19" applyFont="1" applyBorder="1" applyAlignment="1">
      <alignment horizontal="left" vertical="center"/>
    </xf>
    <xf numFmtId="0" fontId="28" fillId="10" borderId="30" xfId="10" applyFont="1" applyBorder="1" applyAlignment="1">
      <alignment horizontal="left" vertical="center"/>
    </xf>
    <xf numFmtId="0" fontId="28" fillId="17" borderId="30" xfId="16" applyFont="1" applyBorder="1" applyAlignment="1">
      <alignment horizontal="left" vertical="center"/>
    </xf>
    <xf numFmtId="0" fontId="28" fillId="18" borderId="30" xfId="17" applyFont="1" applyBorder="1" applyAlignment="1">
      <alignment horizontal="left" vertical="center"/>
    </xf>
    <xf numFmtId="164" fontId="21" fillId="0" borderId="0" xfId="0" applyNumberFormat="1" applyFont="1" applyBorder="1" applyAlignment="1">
      <alignment horizontal="center" vertical="center"/>
    </xf>
    <xf numFmtId="0" fontId="8" fillId="4" borderId="0" xfId="4" applyBorder="1" applyAlignment="1">
      <alignment vertical="center"/>
    </xf>
    <xf numFmtId="0" fontId="7" fillId="3" borderId="0" xfId="3" applyBorder="1" applyAlignment="1">
      <alignment vertical="center"/>
    </xf>
    <xf numFmtId="164" fontId="7" fillId="3" borderId="0" xfId="3" applyNumberFormat="1" applyBorder="1"/>
    <xf numFmtId="164" fontId="0" fillId="0" borderId="0" xfId="0" applyNumberFormat="1"/>
    <xf numFmtId="6" fontId="7" fillId="3" borderId="0" xfId="3" applyNumberFormat="1" applyBorder="1"/>
    <xf numFmtId="8" fontId="7" fillId="3" borderId="0" xfId="3" applyNumberFormat="1" applyBorder="1"/>
    <xf numFmtId="0" fontId="35" fillId="0" borderId="0" xfId="0" applyFont="1" applyBorder="1" applyAlignment="1">
      <alignment horizontal="center" vertical="center"/>
    </xf>
    <xf numFmtId="0" fontId="35" fillId="0" borderId="0" xfId="12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6" fillId="0" borderId="0" xfId="0" applyFont="1"/>
    <xf numFmtId="0" fontId="10" fillId="12" borderId="0" xfId="12" applyAlignment="1"/>
    <xf numFmtId="0" fontId="41" fillId="0" borderId="0" xfId="0" applyFont="1"/>
    <xf numFmtId="0" fontId="6" fillId="0" borderId="0" xfId="2" applyAlignment="1">
      <alignment horizontal="center"/>
    </xf>
    <xf numFmtId="164" fontId="0" fillId="0" borderId="0" xfId="0" applyNumberFormat="1" applyFill="1"/>
    <xf numFmtId="0" fontId="0" fillId="0" borderId="0" xfId="0" applyFill="1"/>
    <xf numFmtId="164" fontId="40" fillId="0" borderId="0" xfId="0" applyNumberFormat="1" applyFont="1" applyFill="1"/>
    <xf numFmtId="0" fontId="10" fillId="12" borderId="0" xfId="12" applyAlignment="1">
      <alignment horizontal="center" vertical="center"/>
    </xf>
    <xf numFmtId="0" fontId="10" fillId="0" borderId="0" xfId="0" applyFont="1" applyFill="1" applyAlignment="1">
      <alignment horizontal="right" vertical="center"/>
    </xf>
    <xf numFmtId="0" fontId="10" fillId="0" borderId="0" xfId="0" applyFont="1" applyFill="1"/>
    <xf numFmtId="0" fontId="43" fillId="5" borderId="25" xfId="15" applyFont="1" applyBorder="1" applyAlignment="1">
      <alignment horizontal="center" vertical="center"/>
    </xf>
    <xf numFmtId="0" fontId="0" fillId="23" borderId="32" xfId="0" applyFill="1" applyBorder="1" applyAlignment="1">
      <alignment horizontal="center" vertical="center"/>
    </xf>
    <xf numFmtId="0" fontId="44" fillId="23" borderId="32" xfId="0" applyFont="1" applyFill="1" applyBorder="1" applyAlignment="1">
      <alignment horizontal="center" vertical="center"/>
    </xf>
    <xf numFmtId="0" fontId="3" fillId="23" borderId="32" xfId="0" applyFont="1" applyFill="1" applyBorder="1" applyAlignment="1">
      <alignment horizontal="center" vertical="center"/>
    </xf>
    <xf numFmtId="0" fontId="0" fillId="0" borderId="33" xfId="0" applyBorder="1"/>
    <xf numFmtId="0" fontId="45" fillId="0" borderId="34" xfId="0" applyFont="1" applyBorder="1" applyAlignment="1">
      <alignment horizontal="left" vertical="center"/>
    </xf>
    <xf numFmtId="0" fontId="10" fillId="12" borderId="0" xfId="12" applyBorder="1" applyAlignment="1">
      <alignment horizontal="center" vertical="center"/>
    </xf>
    <xf numFmtId="0" fontId="47" fillId="0" borderId="0" xfId="0" applyFont="1"/>
    <xf numFmtId="0" fontId="10" fillId="22" borderId="35" xfId="20" applyBorder="1"/>
    <xf numFmtId="0" fontId="10" fillId="22" borderId="36" xfId="20" applyBorder="1"/>
    <xf numFmtId="0" fontId="10" fillId="22" borderId="37" xfId="20" applyBorder="1"/>
    <xf numFmtId="0" fontId="48" fillId="11" borderId="0" xfId="11" applyFont="1"/>
    <xf numFmtId="0" fontId="49" fillId="12" borderId="35" xfId="12" applyFont="1" applyBorder="1" applyAlignment="1">
      <alignment horizontal="center" vertical="center"/>
    </xf>
    <xf numFmtId="0" fontId="49" fillId="12" borderId="36" xfId="12" applyFont="1" applyBorder="1" applyAlignment="1">
      <alignment horizontal="center" vertical="center"/>
    </xf>
    <xf numFmtId="0" fontId="49" fillId="12" borderId="37" xfId="12" applyFont="1" applyBorder="1" applyAlignment="1">
      <alignment horizontal="center" vertical="center"/>
    </xf>
    <xf numFmtId="164" fontId="10" fillId="12" borderId="35" xfId="12" applyNumberFormat="1" applyBorder="1" applyAlignment="1">
      <alignment horizontal="center" vertical="center"/>
    </xf>
    <xf numFmtId="164" fontId="10" fillId="12" borderId="36" xfId="12" applyNumberFormat="1" applyBorder="1" applyAlignment="1">
      <alignment horizontal="center" vertical="center"/>
    </xf>
    <xf numFmtId="164" fontId="10" fillId="12" borderId="37" xfId="12" applyNumberFormat="1" applyBorder="1" applyAlignment="1">
      <alignment horizontal="center" vertical="center"/>
    </xf>
    <xf numFmtId="0" fontId="50" fillId="11" borderId="0" xfId="11" applyFont="1" applyAlignment="1">
      <alignment horizontal="center" vertical="center"/>
    </xf>
    <xf numFmtId="164" fontId="10" fillId="12" borderId="0" xfId="12" applyNumberFormat="1" applyBorder="1" applyAlignment="1">
      <alignment horizontal="center" vertical="center"/>
    </xf>
    <xf numFmtId="164" fontId="33" fillId="11" borderId="38" xfId="11" applyNumberFormat="1" applyFont="1" applyBorder="1" applyAlignment="1">
      <alignment horizontal="center" vertical="center"/>
    </xf>
    <xf numFmtId="164" fontId="28" fillId="9" borderId="39" xfId="9" applyNumberFormat="1" applyFont="1" applyBorder="1" applyAlignment="1">
      <alignment horizontal="center" vertical="center"/>
    </xf>
    <xf numFmtId="164" fontId="28" fillId="9" borderId="40" xfId="9" applyNumberFormat="1" applyFont="1" applyBorder="1" applyAlignment="1">
      <alignment horizontal="center" vertical="center"/>
    </xf>
    <xf numFmtId="164" fontId="28" fillId="9" borderId="41" xfId="9" applyNumberFormat="1" applyFont="1" applyBorder="1" applyAlignment="1">
      <alignment horizontal="center" vertical="center"/>
    </xf>
    <xf numFmtId="164" fontId="30" fillId="11" borderId="31" xfId="11" applyNumberFormat="1" applyFont="1" applyBorder="1" applyAlignment="1">
      <alignment horizontal="center" vertical="center"/>
    </xf>
    <xf numFmtId="0" fontId="10" fillId="12" borderId="0" xfId="12" applyBorder="1" applyAlignment="1"/>
    <xf numFmtId="0" fontId="10" fillId="12" borderId="0" xfId="12" applyBorder="1"/>
    <xf numFmtId="0" fontId="10" fillId="12" borderId="0" xfId="12" applyBorder="1" applyAlignment="1">
      <alignment horizontal="center"/>
    </xf>
    <xf numFmtId="164" fontId="7" fillId="3" borderId="0" xfId="3" applyNumberFormat="1"/>
    <xf numFmtId="164" fontId="0" fillId="0" borderId="0" xfId="0" applyNumberFormat="1" applyAlignment="1">
      <alignment horizontal="center" vertical="center"/>
    </xf>
    <xf numFmtId="0" fontId="40" fillId="7" borderId="32" xfId="7" applyFont="1" applyBorder="1" applyAlignment="1">
      <alignment horizontal="left" vertical="center"/>
    </xf>
    <xf numFmtId="0" fontId="40" fillId="25" borderId="32" xfId="23" applyFont="1" applyBorder="1" applyAlignment="1">
      <alignment horizontal="left" vertical="center"/>
    </xf>
    <xf numFmtId="0" fontId="40" fillId="17" borderId="32" xfId="16" applyFont="1" applyBorder="1" applyAlignment="1">
      <alignment horizontal="left" vertical="center"/>
    </xf>
    <xf numFmtId="0" fontId="40" fillId="18" borderId="32" xfId="17" applyFont="1" applyBorder="1" applyAlignment="1">
      <alignment horizontal="left" vertical="center"/>
    </xf>
    <xf numFmtId="0" fontId="40" fillId="19" borderId="32" xfId="18" applyFont="1" applyBorder="1" applyAlignment="1">
      <alignment horizontal="left" vertical="center"/>
    </xf>
    <xf numFmtId="0" fontId="40" fillId="20" borderId="32" xfId="19" applyFont="1" applyBorder="1" applyAlignment="1">
      <alignment horizontal="left" vertical="center"/>
    </xf>
    <xf numFmtId="0" fontId="40" fillId="10" borderId="32" xfId="10" applyFont="1" applyBorder="1" applyAlignment="1">
      <alignment horizontal="left" vertical="center"/>
    </xf>
    <xf numFmtId="0" fontId="0" fillId="0" borderId="0" xfId="0" applyNumberFormat="1"/>
    <xf numFmtId="0" fontId="0" fillId="0" borderId="0" xfId="0" applyBorder="1"/>
    <xf numFmtId="0" fontId="54" fillId="0" borderId="44" xfId="1" applyFont="1" applyBorder="1" applyAlignment="1">
      <alignment horizontal="center" vertical="center"/>
    </xf>
    <xf numFmtId="0" fontId="54" fillId="0" borderId="5" xfId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56" fillId="0" borderId="43" xfId="0" applyNumberFormat="1" applyFont="1" applyBorder="1" applyAlignment="1">
      <alignment horizontal="center" vertical="center"/>
    </xf>
    <xf numFmtId="0" fontId="56" fillId="0" borderId="2" xfId="0" applyFont="1" applyBorder="1" applyAlignment="1">
      <alignment horizontal="center" vertical="center"/>
    </xf>
    <xf numFmtId="0" fontId="56" fillId="0" borderId="6" xfId="0" applyFont="1" applyBorder="1" applyAlignment="1">
      <alignment horizontal="center" vertical="center"/>
    </xf>
    <xf numFmtId="0" fontId="56" fillId="0" borderId="46" xfId="0" applyFont="1" applyBorder="1" applyAlignment="1">
      <alignment horizontal="center" vertical="center"/>
    </xf>
    <xf numFmtId="0" fontId="56" fillId="0" borderId="47" xfId="0" applyFont="1" applyBorder="1" applyAlignment="1">
      <alignment horizontal="center" vertical="center"/>
    </xf>
    <xf numFmtId="17" fontId="56" fillId="0" borderId="2" xfId="0" applyNumberFormat="1" applyFont="1" applyBorder="1" applyAlignment="1">
      <alignment horizontal="center" vertical="center"/>
    </xf>
    <xf numFmtId="17" fontId="56" fillId="0" borderId="6" xfId="0" applyNumberFormat="1" applyFont="1" applyBorder="1" applyAlignment="1">
      <alignment horizontal="center" vertical="center"/>
    </xf>
    <xf numFmtId="0" fontId="57" fillId="0" borderId="45" xfId="1" applyFont="1" applyBorder="1" applyAlignment="1">
      <alignment horizontal="center" vertical="center"/>
    </xf>
    <xf numFmtId="0" fontId="28" fillId="9" borderId="11" xfId="9" applyFont="1" applyBorder="1" applyAlignment="1" applyProtection="1">
      <alignment horizontal="center" vertical="center"/>
    </xf>
    <xf numFmtId="0" fontId="30" fillId="13" borderId="5" xfId="13" applyNumberFormat="1" applyFont="1" applyBorder="1" applyAlignment="1" applyProtection="1">
      <alignment horizontal="center" vertical="center"/>
    </xf>
    <xf numFmtId="164" fontId="27" fillId="13" borderId="2" xfId="13" applyNumberFormat="1" applyFont="1" applyBorder="1" applyAlignment="1" applyProtection="1">
      <alignment horizontal="center" vertical="center"/>
    </xf>
    <xf numFmtId="164" fontId="25" fillId="10" borderId="12" xfId="10" applyNumberFormat="1" applyFont="1" applyBorder="1" applyAlignment="1" applyProtection="1">
      <alignment horizontal="center" vertical="center"/>
    </xf>
    <xf numFmtId="164" fontId="31" fillId="10" borderId="12" xfId="10" applyNumberFormat="1" applyFont="1" applyBorder="1" applyAlignment="1" applyProtection="1">
      <alignment horizontal="center" vertical="center"/>
    </xf>
    <xf numFmtId="164" fontId="25" fillId="10" borderId="22" xfId="10" applyNumberFormat="1" applyFont="1" applyBorder="1" applyAlignment="1" applyProtection="1">
      <alignment horizontal="center" vertical="center"/>
    </xf>
    <xf numFmtId="0" fontId="27" fillId="13" borderId="5" xfId="13" applyNumberFormat="1" applyFont="1" applyBorder="1" applyAlignment="1" applyProtection="1">
      <alignment horizontal="center" vertical="center"/>
    </xf>
    <xf numFmtId="164" fontId="30" fillId="11" borderId="21" xfId="11" applyNumberFormat="1" applyFont="1" applyBorder="1" applyAlignment="1" applyProtection="1">
      <alignment horizontal="center" vertical="center"/>
    </xf>
    <xf numFmtId="164" fontId="33" fillId="11" borderId="8" xfId="11" applyNumberFormat="1" applyFont="1" applyBorder="1" applyAlignment="1" applyProtection="1">
      <alignment horizontal="center" vertical="center"/>
    </xf>
    <xf numFmtId="0" fontId="30" fillId="11" borderId="7" xfId="11" applyFont="1" applyBorder="1" applyAlignment="1" applyProtection="1">
      <alignment horizontal="center" vertical="center"/>
    </xf>
    <xf numFmtId="164" fontId="28" fillId="10" borderId="11" xfId="10" applyNumberFormat="1" applyFont="1" applyBorder="1" applyAlignment="1" applyProtection="1">
      <alignment horizontal="center" vertical="center"/>
    </xf>
    <xf numFmtId="0" fontId="33" fillId="11" borderId="9" xfId="11" applyFont="1" applyBorder="1" applyAlignment="1" applyProtection="1">
      <alignment horizontal="center" vertical="center"/>
    </xf>
    <xf numFmtId="0" fontId="30" fillId="11" borderId="10" xfId="11" applyFont="1" applyBorder="1" applyAlignment="1" applyProtection="1">
      <alignment horizontal="center" vertical="center"/>
    </xf>
    <xf numFmtId="164" fontId="28" fillId="7" borderId="11" xfId="7" applyNumberFormat="1" applyFont="1" applyBorder="1" applyAlignment="1" applyProtection="1">
      <alignment horizontal="center" vertical="center"/>
    </xf>
    <xf numFmtId="164" fontId="34" fillId="11" borderId="21" xfId="11" applyNumberFormat="1" applyFont="1" applyBorder="1" applyAlignment="1" applyProtection="1">
      <alignment horizontal="center" vertical="center"/>
    </xf>
    <xf numFmtId="0" fontId="30" fillId="5" borderId="25" xfId="15" applyFont="1" applyBorder="1" applyAlignment="1" applyProtection="1">
      <alignment horizontal="center" vertical="center"/>
    </xf>
    <xf numFmtId="164" fontId="30" fillId="5" borderId="27" xfId="5" applyNumberFormat="1" applyFont="1" applyFill="1" applyBorder="1" applyAlignment="1" applyProtection="1">
      <alignment horizontal="center" vertical="center"/>
    </xf>
    <xf numFmtId="0" fontId="28" fillId="9" borderId="22" xfId="9" applyFont="1" applyBorder="1" applyAlignment="1" applyProtection="1">
      <alignment horizontal="center" vertical="center"/>
    </xf>
    <xf numFmtId="0" fontId="27" fillId="13" borderId="2" xfId="13" applyFont="1" applyBorder="1" applyAlignment="1" applyProtection="1">
      <alignment horizontal="center" vertical="center"/>
    </xf>
    <xf numFmtId="164" fontId="25" fillId="10" borderId="24" xfId="10" applyNumberFormat="1" applyFont="1" applyBorder="1" applyAlignment="1" applyProtection="1">
      <alignment horizontal="center" vertical="center"/>
    </xf>
    <xf numFmtId="164" fontId="7" fillId="3" borderId="0" xfId="3" applyNumberFormat="1" applyProtection="1"/>
    <xf numFmtId="0" fontId="7" fillId="3" borderId="2" xfId="3" applyBorder="1" applyAlignment="1" applyProtection="1">
      <alignment horizontal="center" vertical="center"/>
      <protection locked="0"/>
    </xf>
    <xf numFmtId="165" fontId="2" fillId="14" borderId="14" xfId="14" applyNumberFormat="1" applyBorder="1" applyAlignment="1" applyProtection="1">
      <alignment horizontal="center" vertical="center"/>
      <protection locked="0"/>
    </xf>
    <xf numFmtId="165" fontId="2" fillId="14" borderId="15" xfId="14" applyNumberFormat="1" applyBorder="1" applyAlignment="1" applyProtection="1">
      <alignment horizontal="center" vertical="center"/>
      <protection locked="0"/>
    </xf>
    <xf numFmtId="165" fontId="2" fillId="14" borderId="16" xfId="14" applyNumberFormat="1" applyBorder="1" applyAlignment="1" applyProtection="1">
      <alignment horizontal="center" vertical="center"/>
      <protection locked="0"/>
    </xf>
    <xf numFmtId="0" fontId="10" fillId="0" borderId="0" xfId="0" applyFont="1"/>
    <xf numFmtId="0" fontId="53" fillId="0" borderId="42" xfId="21"/>
    <xf numFmtId="0" fontId="53" fillId="0" borderId="42" xfId="21" applyFill="1" applyAlignment="1">
      <alignment horizontal="center" vertical="center"/>
    </xf>
    <xf numFmtId="0" fontId="53" fillId="0" borderId="42" xfId="21" applyAlignment="1">
      <alignment horizontal="left"/>
    </xf>
    <xf numFmtId="0" fontId="53" fillId="0" borderId="42" xfId="21" applyFill="1" applyAlignment="1">
      <alignment horizontal="left"/>
    </xf>
    <xf numFmtId="0" fontId="53" fillId="2" borderId="42" xfId="21" applyFill="1" applyAlignment="1">
      <alignment horizontal="center" vertical="center"/>
    </xf>
    <xf numFmtId="0" fontId="53" fillId="0" borderId="42" xfId="21" applyFill="1" applyAlignment="1">
      <alignment horizontal="left" vertical="center"/>
    </xf>
    <xf numFmtId="0" fontId="53" fillId="0" borderId="42" xfId="21" applyAlignment="1">
      <alignment horizontal="center" vertical="center"/>
    </xf>
    <xf numFmtId="0" fontId="53" fillId="0" borderId="42" xfId="21" applyAlignment="1">
      <alignment horizontal="center"/>
    </xf>
    <xf numFmtId="0" fontId="53" fillId="0" borderId="42" xfId="21" applyAlignment="1">
      <alignment vertical="center"/>
    </xf>
    <xf numFmtId="0" fontId="53" fillId="24" borderId="13" xfId="22" applyFont="1"/>
    <xf numFmtId="0" fontId="53" fillId="24" borderId="13" xfId="22" applyFont="1" applyAlignment="1">
      <alignment horizontal="center" vertic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17" fontId="10" fillId="12" borderId="0" xfId="12" applyNumberFormat="1" applyAlignment="1">
      <alignment horizontal="left"/>
    </xf>
    <xf numFmtId="0" fontId="10" fillId="12" borderId="0" xfId="12" applyNumberFormat="1"/>
    <xf numFmtId="0" fontId="10" fillId="12" borderId="0" xfId="12" applyAlignment="1">
      <alignment horizontal="left" indent="1"/>
    </xf>
    <xf numFmtId="0" fontId="0" fillId="0" borderId="0" xfId="0" pivotButton="1"/>
    <xf numFmtId="0" fontId="10" fillId="12" borderId="0" xfId="12" applyAlignment="1"/>
    <xf numFmtId="0" fontId="10" fillId="12" borderId="13" xfId="12" applyBorder="1" applyAlignment="1"/>
    <xf numFmtId="0" fontId="55" fillId="8" borderId="8" xfId="8" applyFont="1" applyBorder="1" applyAlignment="1">
      <alignment horizontal="left" vertical="center"/>
    </xf>
    <xf numFmtId="0" fontId="55" fillId="8" borderId="0" xfId="8" applyFont="1" applyAlignment="1">
      <alignment horizontal="left" vertical="center"/>
    </xf>
  </cellXfs>
  <cellStyles count="24">
    <cellStyle name="20% - Accent1" xfId="7" builtinId="30"/>
    <cellStyle name="20% - Accent2" xfId="16" builtinId="34"/>
    <cellStyle name="20% - Accent3" xfId="17" builtinId="38"/>
    <cellStyle name="20% - Accent4" xfId="18" builtinId="42"/>
    <cellStyle name="20% - Accent5" xfId="19" builtinId="46"/>
    <cellStyle name="20% - Accent6" xfId="10" builtinId="50"/>
    <cellStyle name="40% - Accent3" xfId="9" builtinId="39"/>
    <cellStyle name="40% - Accent5" xfId="14" builtinId="47"/>
    <cellStyle name="60% - Accent4" xfId="12" builtinId="44"/>
    <cellStyle name="60% - Accent5" xfId="20" builtinId="48"/>
    <cellStyle name="60% - Accent6" xfId="11" builtinId="52"/>
    <cellStyle name="Accent1" xfId="6" builtinId="29"/>
    <cellStyle name="Accent2" xfId="8" builtinId="33"/>
    <cellStyle name="Accent5" xfId="13" builtinId="45"/>
    <cellStyle name="Accent6" xfId="23" builtinId="49"/>
    <cellStyle name="Bad" xfId="4" builtinId="27"/>
    <cellStyle name="Good" xfId="3" builtinId="26"/>
    <cellStyle name="Heading 2" xfId="21" builtinId="17"/>
    <cellStyle name="Heading 4" xfId="2" builtinId="19"/>
    <cellStyle name="Input" xfId="15" builtinId="20"/>
    <cellStyle name="Linked Cell" xfId="5" builtinId="24"/>
    <cellStyle name="Normal" xfId="0" builtinId="0"/>
    <cellStyle name="Note" xfId="22" builtinId="10"/>
    <cellStyle name="Title" xfId="1" builtinId="15"/>
  </cellStyles>
  <dxfs count="28"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strike val="0"/>
      </font>
      <fill>
        <patternFill>
          <bgColor rgb="FFFF0000"/>
        </patternFill>
      </fill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numFmt numFmtId="164" formatCode="&quot;£&quot;#,##0.00"/>
    </dxf>
    <dxf>
      <alignment vertical="center" readingOrder="0"/>
    </dxf>
    <dxf>
      <alignment horizontal="center" readingOrder="0"/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4"/>
    </mc:Choice>
    <mc:Fallback>
      <c:style val="14"/>
    </mc:Fallback>
  </mc:AlternateContent>
  <c:chart>
    <c:title>
      <c:tx>
        <c:rich>
          <a:bodyPr/>
          <a:lstStyle/>
          <a:p>
            <a:pPr>
              <a:defRPr i="1" u="none">
                <a:latin typeface="+mj-lt"/>
              </a:defRPr>
            </a:pPr>
            <a:r>
              <a:rPr lang="en-US" i="1" u="none">
                <a:latin typeface="+mj-lt"/>
              </a:rPr>
              <a:t>Total Revenue for Ria View Theatre Club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trendline>
            <c:name>Forecast</c:name>
            <c:spPr>
              <a:ln w="28575">
                <a:solidFill>
                  <a:srgbClr val="FF0000"/>
                </a:solidFill>
              </a:ln>
            </c:spPr>
            <c:trendlineType val="linear"/>
            <c:forward val="3"/>
            <c:dispRSqr val="0"/>
            <c:dispEq val="0"/>
          </c:trendline>
          <c:cat>
            <c:strRef>
              <c:f>Revinue!$K$16:$V$16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Revinue!$K$17:$V$17</c:f>
              <c:numCache>
                <c:formatCode>"£"#,##0.00</c:formatCode>
                <c:ptCount val="12"/>
                <c:pt idx="0">
                  <c:v>5710.6350000000002</c:v>
                </c:pt>
                <c:pt idx="1">
                  <c:v>7133.9474999999993</c:v>
                </c:pt>
                <c:pt idx="2">
                  <c:v>11932.5975</c:v>
                </c:pt>
                <c:pt idx="3">
                  <c:v>12370.7</c:v>
                </c:pt>
                <c:pt idx="4">
                  <c:v>9202.0099999999984</c:v>
                </c:pt>
                <c:pt idx="5">
                  <c:v>5417.0724999999984</c:v>
                </c:pt>
                <c:pt idx="6">
                  <c:v>12917.985000000001</c:v>
                </c:pt>
                <c:pt idx="7">
                  <c:v>8989.3849999999984</c:v>
                </c:pt>
                <c:pt idx="8">
                  <c:v>6172.5750000000007</c:v>
                </c:pt>
                <c:pt idx="9">
                  <c:v>11867.432499999995</c:v>
                </c:pt>
                <c:pt idx="10">
                  <c:v>14848.972500000002</c:v>
                </c:pt>
                <c:pt idx="11">
                  <c:v>18503.584999999999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C85-931E-94CE7FF1D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63808"/>
        <c:axId val="76265728"/>
      </c:barChart>
      <c:catAx>
        <c:axId val="76263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Months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76265728"/>
        <c:crosses val="autoZero"/>
        <c:auto val="1"/>
        <c:lblAlgn val="ctr"/>
        <c:lblOffset val="100"/>
        <c:noMultiLvlLbl val="0"/>
      </c:catAx>
      <c:valAx>
        <c:axId val="76265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Revenue (£)</a:t>
                </a:r>
              </a:p>
            </c:rich>
          </c:tx>
          <c:layout/>
          <c:overlay val="0"/>
        </c:title>
        <c:numFmt formatCode="&quot;£&quot;#,##0.00" sourceLinked="1"/>
        <c:majorTickMark val="out"/>
        <c:minorTickMark val="none"/>
        <c:tickLblPos val="nextTo"/>
        <c:crossAx val="76263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checked="Checked" fmlaLink="$L$8" noThreeD="1"/>
</file>

<file path=xl/ctrlProps/ctrlProp24.xml><?xml version="1.0" encoding="utf-8"?>
<formControlPr xmlns="http://schemas.microsoft.com/office/spreadsheetml/2009/9/main" objectType="CheckBox" checked="Checked" fmlaLink="$L$9" noThreeD="1"/>
</file>

<file path=xl/ctrlProps/ctrlProp25.xml><?xml version="1.0" encoding="utf-8"?>
<formControlPr xmlns="http://schemas.microsoft.com/office/spreadsheetml/2009/9/main" objectType="CheckBox" checked="Checked" fmlaLink="$L$10" noThreeD="1"/>
</file>

<file path=xl/ctrlProps/ctrlProp26.xml><?xml version="1.0" encoding="utf-8"?>
<formControlPr xmlns="http://schemas.microsoft.com/office/spreadsheetml/2009/9/main" objectType="CheckBox" checked="Checked" fmlaLink="$L$11" noThreeD="1"/>
</file>

<file path=xl/ctrlProps/ctrlProp27.xml><?xml version="1.0" encoding="utf-8"?>
<formControlPr xmlns="http://schemas.microsoft.com/office/spreadsheetml/2009/9/main" objectType="CheckBox" checked="Checked" fmlaLink="$L$12" noThreeD="1"/>
</file>

<file path=xl/ctrlProps/ctrlProp28.xml><?xml version="1.0" encoding="utf-8"?>
<formControlPr xmlns="http://schemas.microsoft.com/office/spreadsheetml/2009/9/main" objectType="CheckBox" checked="Checked" fmlaLink="$L$13" noThreeD="1"/>
</file>

<file path=xl/ctrlProps/ctrlProp29.xml><?xml version="1.0" encoding="utf-8"?>
<formControlPr xmlns="http://schemas.microsoft.com/office/spreadsheetml/2009/9/main" objectType="CheckBox" checked="Checked" fmlaLink="$L$14" noThreeD="1"/>
</file>

<file path=xl/ctrlProps/ctrlProp30.xml><?xml version="1.0" encoding="utf-8"?>
<formControlPr xmlns="http://schemas.microsoft.com/office/spreadsheetml/2009/9/main" objectType="CheckBox" checked="Checked" fmlaLink="$L$15" noThreeD="1"/>
</file>

<file path=xl/ctrlProps/ctrlProp31.xml><?xml version="1.0" encoding="utf-8"?>
<formControlPr xmlns="http://schemas.microsoft.com/office/spreadsheetml/2009/9/main" objectType="CheckBox" checked="Checked" fmlaLink="$L$16" noThreeD="1"/>
</file>

<file path=xl/ctrlProps/ctrlProp32.xml><?xml version="1.0" encoding="utf-8"?>
<formControlPr xmlns="http://schemas.microsoft.com/office/spreadsheetml/2009/9/main" objectType="CheckBox" checked="Checked" fmlaLink="$L$17" noThreeD="1"/>
</file>

<file path=xl/ctrlProps/ctrlProp33.xml><?xml version="1.0" encoding="utf-8"?>
<formControlPr xmlns="http://schemas.microsoft.com/office/spreadsheetml/2009/9/main" objectType="CheckBox" checked="Checked" fmlaLink="$L$18" noThreeD="1"/>
</file>

<file path=xl/ctrlProps/ctrlProp34.xml><?xml version="1.0" encoding="utf-8"?>
<formControlPr xmlns="http://schemas.microsoft.com/office/spreadsheetml/2009/9/main" objectType="CheckBox" checked="Checked" fmlaLink="$L$19" noThreeD="1"/>
</file>

<file path=xl/ctrlProps/ctrlProp35.xml><?xml version="1.0" encoding="utf-8"?>
<formControlPr xmlns="http://schemas.microsoft.com/office/spreadsheetml/2009/9/main" objectType="CheckBox" checked="Checked" fmlaLink="$L$20" noThreeD="1"/>
</file>

<file path=xl/ctrlProps/ctrlProp36.xml><?xml version="1.0" encoding="utf-8"?>
<formControlPr xmlns="http://schemas.microsoft.com/office/spreadsheetml/2009/9/main" objectType="CheckBox" checked="Checked" fmlaLink="$L$21" noThreeD="1"/>
</file>

<file path=xl/ctrlProps/ctrlProp37.xml><?xml version="1.0" encoding="utf-8"?>
<formControlPr xmlns="http://schemas.microsoft.com/office/spreadsheetml/2009/9/main" objectType="CheckBox" checked="Checked" fmlaLink="$L$22" noThreeD="1"/>
</file>

<file path=xl/ctrlProps/ctrlProp38.xml><?xml version="1.0" encoding="utf-8"?>
<formControlPr xmlns="http://schemas.microsoft.com/office/spreadsheetml/2009/9/main" objectType="CheckBox" checked="Checked" fmlaLink="$L$23" noThreeD="1"/>
</file>

<file path=xl/ctrlProps/ctrlProp39.xml><?xml version="1.0" encoding="utf-8"?>
<formControlPr xmlns="http://schemas.microsoft.com/office/spreadsheetml/2009/9/main" objectType="CheckBox" checked="Checked" fmlaLink="$L$24" noThreeD="1"/>
</file>

<file path=xl/ctrlProps/ctrlProp40.xml><?xml version="1.0" encoding="utf-8"?>
<formControlPr xmlns="http://schemas.microsoft.com/office/spreadsheetml/2009/9/main" objectType="CheckBox" checked="Checked" fmlaLink="$L$25" noThreeD="1"/>
</file>

<file path=xl/ctrlProps/ctrlProp41.xml><?xml version="1.0" encoding="utf-8"?>
<formControlPr xmlns="http://schemas.microsoft.com/office/spreadsheetml/2009/9/main" objectType="CheckBox" checked="Checked" fmlaLink="$L$26" noThreeD="1"/>
</file>

<file path=xl/ctrlProps/ctrlProp42.xml><?xml version="1.0" encoding="utf-8"?>
<formControlPr xmlns="http://schemas.microsoft.com/office/spreadsheetml/2009/9/main" objectType="CheckBox" checked="Checked" fmlaLink="$L$27" noThreeD="1"/>
</file>

<file path=xl/ctrlProps/ctrlProp43.xml><?xml version="1.0" encoding="utf-8"?>
<formControlPr xmlns="http://schemas.microsoft.com/office/spreadsheetml/2009/9/main" objectType="CheckBox" checked="Checked" fmlaLink="$L$7" noThreeD="1"/>
</file>

<file path=xl/ctrlProps/ctrlProp44.xml><?xml version="1.0" encoding="utf-8"?>
<formControlPr xmlns="http://schemas.microsoft.com/office/spreadsheetml/2009/9/main" objectType="CheckBox" checked="Checked" fmlaLink="$L$6" noThreeD="1"/>
</file>

<file path=xl/ctrlProps/ctrlProp45.xml><?xml version="1.0" encoding="utf-8"?>
<formControlPr xmlns="http://schemas.microsoft.com/office/spreadsheetml/2009/9/main" objectType="CheckBox" checked="Checked" fmlaLink="$M$7" noThreeD="1"/>
</file>

<file path=xl/ctrlProps/ctrlProp46.xml><?xml version="1.0" encoding="utf-8"?>
<formControlPr xmlns="http://schemas.microsoft.com/office/spreadsheetml/2009/9/main" objectType="CheckBox" checked="Checked" fmlaLink="$M$8" noThreeD="1"/>
</file>

<file path=xl/ctrlProps/ctrlProp47.xml><?xml version="1.0" encoding="utf-8"?>
<formControlPr xmlns="http://schemas.microsoft.com/office/spreadsheetml/2009/9/main" objectType="CheckBox" checked="Checked" fmlaLink="$M$9" noThreeD="1"/>
</file>

<file path=xl/ctrlProps/ctrlProp48.xml><?xml version="1.0" encoding="utf-8"?>
<formControlPr xmlns="http://schemas.microsoft.com/office/spreadsheetml/2009/9/main" objectType="CheckBox" checked="Checked" fmlaLink="$M$10" noThreeD="1"/>
</file>

<file path=xl/ctrlProps/ctrlProp49.xml><?xml version="1.0" encoding="utf-8"?>
<formControlPr xmlns="http://schemas.microsoft.com/office/spreadsheetml/2009/9/main" objectType="CheckBox" checked="Checked" fmlaLink="$M$12" noThreeD="1"/>
</file>

<file path=xl/ctrlProps/ctrlProp50.xml><?xml version="1.0" encoding="utf-8"?>
<formControlPr xmlns="http://schemas.microsoft.com/office/spreadsheetml/2009/9/main" objectType="CheckBox" checked="Checked" fmlaLink="$M$13" noThreeD="1"/>
</file>

<file path=xl/ctrlProps/ctrlProp51.xml><?xml version="1.0" encoding="utf-8"?>
<formControlPr xmlns="http://schemas.microsoft.com/office/spreadsheetml/2009/9/main" objectType="CheckBox" checked="Checked" fmlaLink="$M$14" noThreeD="1"/>
</file>

<file path=xl/ctrlProps/ctrlProp52.xml><?xml version="1.0" encoding="utf-8"?>
<formControlPr xmlns="http://schemas.microsoft.com/office/spreadsheetml/2009/9/main" objectType="CheckBox" checked="Checked" fmlaLink="$M$15" noThreeD="1"/>
</file>

<file path=xl/ctrlProps/ctrlProp53.xml><?xml version="1.0" encoding="utf-8"?>
<formControlPr xmlns="http://schemas.microsoft.com/office/spreadsheetml/2009/9/main" objectType="CheckBox" checked="Checked" fmlaLink="$M$16" noThreeD="1"/>
</file>

<file path=xl/ctrlProps/ctrlProp54.xml><?xml version="1.0" encoding="utf-8"?>
<formControlPr xmlns="http://schemas.microsoft.com/office/spreadsheetml/2009/9/main" objectType="CheckBox" checked="Checked" fmlaLink="$M$17" noThreeD="1"/>
</file>

<file path=xl/ctrlProps/ctrlProp55.xml><?xml version="1.0" encoding="utf-8"?>
<formControlPr xmlns="http://schemas.microsoft.com/office/spreadsheetml/2009/9/main" objectType="CheckBox" checked="Checked" fmlaLink="$M$18" noThreeD="1"/>
</file>

<file path=xl/ctrlProps/ctrlProp56.xml><?xml version="1.0" encoding="utf-8"?>
<formControlPr xmlns="http://schemas.microsoft.com/office/spreadsheetml/2009/9/main" objectType="CheckBox" checked="Checked" fmlaLink="$M$19" noThreeD="1"/>
</file>

<file path=xl/ctrlProps/ctrlProp57.xml><?xml version="1.0" encoding="utf-8"?>
<formControlPr xmlns="http://schemas.microsoft.com/office/spreadsheetml/2009/9/main" objectType="CheckBox" checked="Checked" fmlaLink="$M$20" noThreeD="1"/>
</file>

<file path=xl/ctrlProps/ctrlProp58.xml><?xml version="1.0" encoding="utf-8"?>
<formControlPr xmlns="http://schemas.microsoft.com/office/spreadsheetml/2009/9/main" objectType="CheckBox" checked="Checked" fmlaLink="$M$21" noThreeD="1"/>
</file>

<file path=xl/ctrlProps/ctrlProp59.xml><?xml version="1.0" encoding="utf-8"?>
<formControlPr xmlns="http://schemas.microsoft.com/office/spreadsheetml/2009/9/main" objectType="CheckBox" checked="Checked" fmlaLink="$M$22" noThreeD="1"/>
</file>

<file path=xl/ctrlProps/ctrlProp60.xml><?xml version="1.0" encoding="utf-8"?>
<formControlPr xmlns="http://schemas.microsoft.com/office/spreadsheetml/2009/9/main" objectType="CheckBox" checked="Checked" fmlaLink="$M$23" noThreeD="1"/>
</file>

<file path=xl/ctrlProps/ctrlProp61.xml><?xml version="1.0" encoding="utf-8"?>
<formControlPr xmlns="http://schemas.microsoft.com/office/spreadsheetml/2009/9/main" objectType="CheckBox" checked="Checked" fmlaLink="$M$24" noThreeD="1"/>
</file>

<file path=xl/ctrlProps/ctrlProp62.xml><?xml version="1.0" encoding="utf-8"?>
<formControlPr xmlns="http://schemas.microsoft.com/office/spreadsheetml/2009/9/main" objectType="CheckBox" checked="Checked" fmlaLink="$M$25" noThreeD="1"/>
</file>

<file path=xl/ctrlProps/ctrlProp63.xml><?xml version="1.0" encoding="utf-8"?>
<formControlPr xmlns="http://schemas.microsoft.com/office/spreadsheetml/2009/9/main" objectType="CheckBox" checked="Checked" fmlaLink="$M$26" noThreeD="1"/>
</file>

<file path=xl/ctrlProps/ctrlProp64.xml><?xml version="1.0" encoding="utf-8"?>
<formControlPr xmlns="http://schemas.microsoft.com/office/spreadsheetml/2009/9/main" objectType="CheckBox" checked="Checked" fmlaLink="$M$27" noThreeD="1"/>
</file>

<file path=xl/ctrlProps/ctrlProp65.xml><?xml version="1.0" encoding="utf-8"?>
<formControlPr xmlns="http://schemas.microsoft.com/office/spreadsheetml/2009/9/main" objectType="CheckBox" checked="Checked" fmlaLink="$M$6" noThreeD="1"/>
</file>

<file path=xl/ctrlProps/ctrlProp66.xml><?xml version="1.0" encoding="utf-8"?>
<formControlPr xmlns="http://schemas.microsoft.com/office/spreadsheetml/2009/9/main" objectType="CheckBox" checked="Checked" fmlaLink="$M$5" noThreeD="1"/>
</file>

<file path=xl/ctrlProps/ctrlProp67.xml><?xml version="1.0" encoding="utf-8"?>
<formControlPr xmlns="http://schemas.microsoft.com/office/spreadsheetml/2009/9/main" objectType="CheckBox" checked="Checked" fmlaLink="$N$6" noThreeD="1"/>
</file>

<file path=xl/ctrlProps/ctrlProp68.xml><?xml version="1.0" encoding="utf-8"?>
<formControlPr xmlns="http://schemas.microsoft.com/office/spreadsheetml/2009/9/main" objectType="CheckBox" checked="Checked" fmlaLink="$N$7" noThreeD="1"/>
</file>

<file path=xl/ctrlProps/ctrlProp69.xml><?xml version="1.0" encoding="utf-8"?>
<formControlPr xmlns="http://schemas.microsoft.com/office/spreadsheetml/2009/9/main" objectType="CheckBox" checked="Checked" fmlaLink="$N$8" noThreeD="1"/>
</file>

<file path=xl/ctrlProps/ctrlProp70.xml><?xml version="1.0" encoding="utf-8"?>
<formControlPr xmlns="http://schemas.microsoft.com/office/spreadsheetml/2009/9/main" objectType="CheckBox" checked="Checked" fmlaLink="$N$9" noThreeD="1"/>
</file>

<file path=xl/ctrlProps/ctrlProp71.xml><?xml version="1.0" encoding="utf-8"?>
<formControlPr xmlns="http://schemas.microsoft.com/office/spreadsheetml/2009/9/main" objectType="CheckBox" checked="Checked" fmlaLink="$N$7" noThreeD="1"/>
</file>

<file path=xl/ctrlProps/ctrlProp72.xml><?xml version="1.0" encoding="utf-8"?>
<formControlPr xmlns="http://schemas.microsoft.com/office/spreadsheetml/2009/9/main" objectType="CheckBox" checked="Checked" fmlaLink="$N$11" noThreeD="1"/>
</file>

<file path=xl/ctrlProps/ctrlProp73.xml><?xml version="1.0" encoding="utf-8"?>
<formControlPr xmlns="http://schemas.microsoft.com/office/spreadsheetml/2009/9/main" objectType="CheckBox" checked="Checked" fmlaLink="$N$13" noThreeD="1"/>
</file>

<file path=xl/ctrlProps/ctrlProp74.xml><?xml version="1.0" encoding="utf-8"?>
<formControlPr xmlns="http://schemas.microsoft.com/office/spreadsheetml/2009/9/main" objectType="CheckBox" checked="Checked" fmlaLink="$N$24" noThreeD="1"/>
</file>

<file path=xl/ctrlProps/ctrlProp75.xml><?xml version="1.0" encoding="utf-8"?>
<formControlPr xmlns="http://schemas.microsoft.com/office/spreadsheetml/2009/9/main" objectType="CheckBox" checked="Checked" fmlaLink="$N$14" noThreeD="1"/>
</file>

<file path=xl/ctrlProps/ctrlProp76.xml><?xml version="1.0" encoding="utf-8"?>
<formControlPr xmlns="http://schemas.microsoft.com/office/spreadsheetml/2009/9/main" objectType="CheckBox" checked="Checked" fmlaLink="$N$15" noThreeD="1"/>
</file>

<file path=xl/ctrlProps/ctrlProp77.xml><?xml version="1.0" encoding="utf-8"?>
<formControlPr xmlns="http://schemas.microsoft.com/office/spreadsheetml/2009/9/main" objectType="CheckBox" checked="Checked" fmlaLink="$N$16" noThreeD="1"/>
</file>

<file path=xl/ctrlProps/ctrlProp78.xml><?xml version="1.0" encoding="utf-8"?>
<formControlPr xmlns="http://schemas.microsoft.com/office/spreadsheetml/2009/9/main" objectType="CheckBox" checked="Checked" fmlaLink="$N$17" noThreeD="1"/>
</file>

<file path=xl/ctrlProps/ctrlProp79.xml><?xml version="1.0" encoding="utf-8"?>
<formControlPr xmlns="http://schemas.microsoft.com/office/spreadsheetml/2009/9/main" objectType="CheckBox" checked="Checked" fmlaLink="$N$18" noThreeD="1"/>
</file>

<file path=xl/ctrlProps/ctrlProp80.xml><?xml version="1.0" encoding="utf-8"?>
<formControlPr xmlns="http://schemas.microsoft.com/office/spreadsheetml/2009/9/main" objectType="CheckBox" checked="Checked" fmlaLink="$N$19" noThreeD="1"/>
</file>

<file path=xl/ctrlProps/ctrlProp81.xml><?xml version="1.0" encoding="utf-8"?>
<formControlPr xmlns="http://schemas.microsoft.com/office/spreadsheetml/2009/9/main" objectType="CheckBox" checked="Checked" fmlaLink="$N$20" noThreeD="1"/>
</file>

<file path=xl/ctrlProps/ctrlProp82.xml><?xml version="1.0" encoding="utf-8"?>
<formControlPr xmlns="http://schemas.microsoft.com/office/spreadsheetml/2009/9/main" objectType="CheckBox" checked="Checked" fmlaLink="$N$21" noThreeD="1"/>
</file>

<file path=xl/ctrlProps/ctrlProp83.xml><?xml version="1.0" encoding="utf-8"?>
<formControlPr xmlns="http://schemas.microsoft.com/office/spreadsheetml/2009/9/main" objectType="CheckBox" checked="Checked" fmlaLink="$N$22" noThreeD="1"/>
</file>

<file path=xl/ctrlProps/ctrlProp84.xml><?xml version="1.0" encoding="utf-8"?>
<formControlPr xmlns="http://schemas.microsoft.com/office/spreadsheetml/2009/9/main" objectType="CheckBox" checked="Checked" fmlaLink="$N$23" noThreeD="1"/>
</file>

<file path=xl/ctrlProps/ctrlProp85.xml><?xml version="1.0" encoding="utf-8"?>
<formControlPr xmlns="http://schemas.microsoft.com/office/spreadsheetml/2009/9/main" objectType="CheckBox" checked="Checked" fmlaLink="$N$5" noThreeD="1"/>
</file>

<file path=xl/ctrlProps/ctrlProp86.xml><?xml version="1.0" encoding="utf-8"?>
<formControlPr xmlns="http://schemas.microsoft.com/office/spreadsheetml/2009/9/main" objectType="CheckBox" checked="Checked" fmlaLink="$N$25" noThreeD="1"/>
</file>

<file path=xl/ctrlProps/ctrlProp87.xml><?xml version="1.0" encoding="utf-8"?>
<formControlPr xmlns="http://schemas.microsoft.com/office/spreadsheetml/2009/9/main" objectType="CheckBox" checked="Checked" fmlaLink="$N$26" noThreeD="1"/>
</file>

<file path=xl/ctrlProps/ctrlProp88.xml><?xml version="1.0" encoding="utf-8"?>
<formControlPr xmlns="http://schemas.microsoft.com/office/spreadsheetml/2009/9/main" objectType="CheckBox" checked="Checked" fmlaLink="$N$27" noThreeD="1"/>
</file>

<file path=xl/ctrlProps/ctrlProp89.xml><?xml version="1.0" encoding="utf-8"?>
<formControlPr xmlns="http://schemas.microsoft.com/office/spreadsheetml/2009/9/main" objectType="CheckBox" checked="Checked" fmlaLink="$L$5" noThreeD="1"/>
</file>

<file path=xl/ctrlProps/ctrlProp90.xml><?xml version="1.0" encoding="utf-8"?>
<formControlPr xmlns="http://schemas.microsoft.com/office/spreadsheetml/2009/9/main" objectType="CheckBox" checked="Checked" fmlaLink="$M$11" noThreeD="1"/>
</file>

<file path=xl/ctrlProps/ctrlProp91.xml><?xml version="1.0" encoding="utf-8"?>
<formControlPr xmlns="http://schemas.microsoft.com/office/spreadsheetml/2009/9/main" objectType="CheckBox" checked="Checked" fmlaLink="$N$12" noThreeD="1"/>
</file>

<file path=xl/ctrlProps/ctrlProp92.xml><?xml version="1.0" encoding="utf-8"?>
<formControlPr xmlns="http://schemas.microsoft.com/office/spreadsheetml/2009/9/main" objectType="CheckBox" checked="Checked" fmlaLink="$L$28" noThreeD="1"/>
</file>

<file path=xl/ctrlProps/ctrlProp93.xml><?xml version="1.0" encoding="utf-8"?>
<formControlPr xmlns="http://schemas.microsoft.com/office/spreadsheetml/2009/9/main" objectType="CheckBox" checked="Checked" fmlaLink="$L$29" noThreeD="1"/>
</file>

<file path=xl/ctrlProps/ctrlProp94.xml><?xml version="1.0" encoding="utf-8"?>
<formControlPr xmlns="http://schemas.microsoft.com/office/spreadsheetml/2009/9/main" objectType="CheckBox" checked="Checked" fmlaLink="$L$30" noThreeD="1"/>
</file>

<file path=xl/ctrlProps/ctrlProp95.xml><?xml version="1.0" encoding="utf-8"?>
<formControlPr xmlns="http://schemas.microsoft.com/office/spreadsheetml/2009/9/main" objectType="CheckBox" checked="Checked" fmlaLink="$L$31" noThreeD="1"/>
</file>

<file path=xl/ctrlProps/ctrlProp96.xml><?xml version="1.0" encoding="utf-8"?>
<formControlPr xmlns="http://schemas.microsoft.com/office/spreadsheetml/2009/9/main" objectType="CheckBox" checked="Checked" fmlaLink="$L$32" noThreeD="1"/>
</file>

<file path=xl/ctrlProps/ctrlProp97.xml><?xml version="1.0" encoding="utf-8"?>
<formControlPr xmlns="http://schemas.microsoft.com/office/spreadsheetml/2009/9/main" objectType="CheckBox" checked="Checked" fmlaLink="$L$33" noThreeD="1"/>
</file>

<file path=xl/ctrlProps/ctrlProp98.xml><?xml version="1.0" encoding="utf-8"?>
<formControlPr xmlns="http://schemas.microsoft.com/office/spreadsheetml/2009/9/main" objectType="CheckBox" checked="Checked" fmlaLink="$L$34" noThreeD="1"/>
</file>

<file path=xl/ctrlProps/ctrlProp99.xml><?xml version="1.0" encoding="utf-8"?>
<formControlPr xmlns="http://schemas.microsoft.com/office/spreadsheetml/2009/9/main" objectType="CheckBox" checked="Checked" fmlaLink="$M$28" noThreeD="1"/>
</file>

<file path=xl/ctrlProps/ctrlProp100.xml><?xml version="1.0" encoding="utf-8"?>
<formControlPr xmlns="http://schemas.microsoft.com/office/spreadsheetml/2009/9/main" objectType="CheckBox" checked="Checked" fmlaLink="$M$29" noThreeD="1"/>
</file>

<file path=xl/ctrlProps/ctrlProp101.xml><?xml version="1.0" encoding="utf-8"?>
<formControlPr xmlns="http://schemas.microsoft.com/office/spreadsheetml/2009/9/main" objectType="CheckBox" checked="Checked" fmlaLink="$M$30" noThreeD="1"/>
</file>

<file path=xl/ctrlProps/ctrlProp102.xml><?xml version="1.0" encoding="utf-8"?>
<formControlPr xmlns="http://schemas.microsoft.com/office/spreadsheetml/2009/9/main" objectType="CheckBox" checked="Checked" fmlaLink="$M$31" noThreeD="1"/>
</file>

<file path=xl/ctrlProps/ctrlProp103.xml><?xml version="1.0" encoding="utf-8"?>
<formControlPr xmlns="http://schemas.microsoft.com/office/spreadsheetml/2009/9/main" objectType="CheckBox" checked="Checked" fmlaLink="$M$32" noThreeD="1"/>
</file>

<file path=xl/ctrlProps/ctrlProp104.xml><?xml version="1.0" encoding="utf-8"?>
<formControlPr xmlns="http://schemas.microsoft.com/office/spreadsheetml/2009/9/main" objectType="CheckBox" checked="Checked" fmlaLink="$M$33" noThreeD="1"/>
</file>

<file path=xl/ctrlProps/ctrlProp105.xml><?xml version="1.0" encoding="utf-8"?>
<formControlPr xmlns="http://schemas.microsoft.com/office/spreadsheetml/2009/9/main" objectType="CheckBox" checked="Checked" fmlaLink="$M$34" noThreeD="1"/>
</file>

<file path=xl/ctrlProps/ctrlProp106.xml><?xml version="1.0" encoding="utf-8"?>
<formControlPr xmlns="http://schemas.microsoft.com/office/spreadsheetml/2009/9/main" objectType="CheckBox" checked="Checked" fmlaLink="$N$31" noThreeD="1"/>
</file>

<file path=xl/ctrlProps/ctrlProp107.xml><?xml version="1.0" encoding="utf-8"?>
<formControlPr xmlns="http://schemas.microsoft.com/office/spreadsheetml/2009/9/main" objectType="CheckBox" checked="Checked" fmlaLink="$N$28" noThreeD="1"/>
</file>

<file path=xl/ctrlProps/ctrlProp108.xml><?xml version="1.0" encoding="utf-8"?>
<formControlPr xmlns="http://schemas.microsoft.com/office/spreadsheetml/2009/9/main" objectType="CheckBox" checked="Checked" fmlaLink="$N$29" noThreeD="1"/>
</file>

<file path=xl/ctrlProps/ctrlProp109.xml><?xml version="1.0" encoding="utf-8"?>
<formControlPr xmlns="http://schemas.microsoft.com/office/spreadsheetml/2009/9/main" objectType="CheckBox" checked="Checked" fmlaLink="$N$30" noThreeD="1"/>
</file>

<file path=xl/ctrlProps/ctrlProp110.xml><?xml version="1.0" encoding="utf-8"?>
<formControlPr xmlns="http://schemas.microsoft.com/office/spreadsheetml/2009/9/main" objectType="CheckBox" checked="Checked" fmlaLink="$N$32" noThreeD="1"/>
</file>

<file path=xl/ctrlProps/ctrlProp111.xml><?xml version="1.0" encoding="utf-8"?>
<formControlPr xmlns="http://schemas.microsoft.com/office/spreadsheetml/2009/9/main" objectType="CheckBox" checked="Checked" fmlaLink="$N$33" noThreeD="1"/>
</file>

<file path=xl/ctrlProps/ctrlProp112.xml><?xml version="1.0" encoding="utf-8"?>
<formControlPr xmlns="http://schemas.microsoft.com/office/spreadsheetml/2009/9/main" objectType="CheckBox" checked="Checked" fmlaLink="$N$34" noThreeD="1"/>
</file>

<file path=xl/ctrlProps/ctrlProp113.xml><?xml version="1.0" encoding="utf-8"?>
<formControlPr xmlns="http://schemas.microsoft.com/office/spreadsheetml/2009/9/main" objectType="CheckBox" checked="Checked" fmlaLink="$L$35" noThreeD="1"/>
</file>

<file path=xl/ctrlProps/ctrlProp114.xml><?xml version="1.0" encoding="utf-8"?>
<formControlPr xmlns="http://schemas.microsoft.com/office/spreadsheetml/2009/9/main" objectType="CheckBox" checked="Checked" fmlaLink="$M$35" noThreeD="1"/>
</file>

<file path=xl/ctrlProps/ctrlProp115.xml><?xml version="1.0" encoding="utf-8"?>
<formControlPr xmlns="http://schemas.microsoft.com/office/spreadsheetml/2009/9/main" objectType="CheckBox" checked="Checked" fmlaLink="$N$35" noThreeD="1"/>
</file>

<file path=xl/ctrlProps/ctrlProp116.xml><?xml version="1.0" encoding="utf-8"?>
<formControlPr xmlns="http://schemas.microsoft.com/office/spreadsheetml/2009/9/main" objectType="CheckBox" checked="Checked" fmlaLink="$N$6" noThreeD="1"/>
</file>

<file path=xl/ctrlProps/ctrlProp117.xml><?xml version="1.0" encoding="utf-8"?>
<formControlPr xmlns="http://schemas.microsoft.com/office/spreadsheetml/2009/9/main" objectType="CheckBox" checked="Checked" fmlaLink="$N$7" noThreeD="1"/>
</file>

<file path=xl/ctrlProps/ctrlProp118.xml><?xml version="1.0" encoding="utf-8"?>
<formControlPr xmlns="http://schemas.microsoft.com/office/spreadsheetml/2009/9/main" objectType="CheckBox" checked="Checked" fmlaLink="$N$8" noThreeD="1"/>
</file>

<file path=xl/ctrlProps/ctrlProp119.xml><?xml version="1.0" encoding="utf-8"?>
<formControlPr xmlns="http://schemas.microsoft.com/office/spreadsheetml/2009/9/main" objectType="CheckBox" checked="Checked" fmlaLink="$N$9" noThreeD="1"/>
</file>

<file path=xl/ctrlProps/ctrlProp120.xml><?xml version="1.0" encoding="utf-8"?>
<formControlPr xmlns="http://schemas.microsoft.com/office/spreadsheetml/2009/9/main" objectType="CheckBox" checked="Checked" fmlaLink="$N$10" noThreeD="1"/>
</file>

<file path=xl/ctrlProps/ctrlProp121.xml><?xml version="1.0" encoding="utf-8"?>
<formControlPr xmlns="http://schemas.microsoft.com/office/spreadsheetml/2009/9/main" objectType="CheckBox" checked="Checked" fmlaLink="$N$11" noThreeD="1"/>
</file>

<file path=xl/ctrlProps/ctrlProp122.xml><?xml version="1.0" encoding="utf-8"?>
<formControlPr xmlns="http://schemas.microsoft.com/office/spreadsheetml/2009/9/main" objectType="CheckBox" checked="Checked" fmlaLink="$N$12" noThreeD="1"/>
</file>

<file path=xl/ctrlProps/ctrlProp123.xml><?xml version="1.0" encoding="utf-8"?>
<formControlPr xmlns="http://schemas.microsoft.com/office/spreadsheetml/2009/9/main" objectType="CheckBox" checked="Checked" fmlaLink="$N$13" noThreeD="1"/>
</file>

<file path=xl/ctrlProps/ctrlProp124.xml><?xml version="1.0" encoding="utf-8"?>
<formControlPr xmlns="http://schemas.microsoft.com/office/spreadsheetml/2009/9/main" objectType="CheckBox" checked="Checked" fmlaLink="$N$14" noThreeD="1"/>
</file>

<file path=xl/ctrlProps/ctrlProp125.xml><?xml version="1.0" encoding="utf-8"?>
<formControlPr xmlns="http://schemas.microsoft.com/office/spreadsheetml/2009/9/main" objectType="CheckBox" checked="Checked" fmlaLink="$N$15" noThreeD="1"/>
</file>

<file path=xl/ctrlProps/ctrlProp126.xml><?xml version="1.0" encoding="utf-8"?>
<formControlPr xmlns="http://schemas.microsoft.com/office/spreadsheetml/2009/9/main" objectType="CheckBox" checked="Checked" fmlaLink="$N$16" noThreeD="1"/>
</file>

<file path=xl/ctrlProps/ctrlProp127.xml><?xml version="1.0" encoding="utf-8"?>
<formControlPr xmlns="http://schemas.microsoft.com/office/spreadsheetml/2009/9/main" objectType="CheckBox" checked="Checked" fmlaLink="$N$17" noThreeD="1"/>
</file>

<file path=xl/ctrlProps/ctrlProp128.xml><?xml version="1.0" encoding="utf-8"?>
<formControlPr xmlns="http://schemas.microsoft.com/office/spreadsheetml/2009/9/main" objectType="CheckBox" checked="Checked" fmlaLink="$N$18" noThreeD="1"/>
</file>

<file path=xl/ctrlProps/ctrlProp129.xml><?xml version="1.0" encoding="utf-8"?>
<formControlPr xmlns="http://schemas.microsoft.com/office/spreadsheetml/2009/9/main" objectType="CheckBox" checked="Checked" fmlaLink="$N$19" noThreeD="1"/>
</file>

<file path=xl/ctrlProps/ctrlProp130.xml><?xml version="1.0" encoding="utf-8"?>
<formControlPr xmlns="http://schemas.microsoft.com/office/spreadsheetml/2009/9/main" objectType="CheckBox" checked="Checked" fmlaLink="$N$20" noThreeD="1"/>
</file>

<file path=xl/ctrlProps/ctrlProp131.xml><?xml version="1.0" encoding="utf-8"?>
<formControlPr xmlns="http://schemas.microsoft.com/office/spreadsheetml/2009/9/main" objectType="CheckBox" checked="Checked" fmlaLink="$N$21" noThreeD="1"/>
</file>

<file path=xl/ctrlProps/ctrlProp132.xml><?xml version="1.0" encoding="utf-8"?>
<formControlPr xmlns="http://schemas.microsoft.com/office/spreadsheetml/2009/9/main" objectType="CheckBox" checked="Checked" fmlaLink="$N$22" noThreeD="1"/>
</file>

<file path=xl/ctrlProps/ctrlProp133.xml><?xml version="1.0" encoding="utf-8"?>
<formControlPr xmlns="http://schemas.microsoft.com/office/spreadsheetml/2009/9/main" objectType="CheckBox" checked="Checked" fmlaLink="$N$23" noThreeD="1"/>
</file>

<file path=xl/ctrlProps/ctrlProp134.xml><?xml version="1.0" encoding="utf-8"?>
<formControlPr xmlns="http://schemas.microsoft.com/office/spreadsheetml/2009/9/main" objectType="CheckBox" checked="Checked" fmlaLink="$N$24" noThreeD="1"/>
</file>

<file path=xl/ctrlProps/ctrlProp135.xml><?xml version="1.0" encoding="utf-8"?>
<formControlPr xmlns="http://schemas.microsoft.com/office/spreadsheetml/2009/9/main" objectType="CheckBox" checked="Checked" fmlaLink="$N$25" noThreeD="1"/>
</file>

<file path=xl/ctrlProps/ctrlProp136.xml><?xml version="1.0" encoding="utf-8"?>
<formControlPr xmlns="http://schemas.microsoft.com/office/spreadsheetml/2009/9/main" objectType="CheckBox" checked="Checked" fmlaLink="$N$26" noThreeD="1"/>
</file>

<file path=xl/ctrlProps/ctrlProp137.xml><?xml version="1.0" encoding="utf-8"?>
<formControlPr xmlns="http://schemas.microsoft.com/office/spreadsheetml/2009/9/main" objectType="CheckBox" checked="Checked" fmlaLink="$N$27" noThreeD="1"/>
</file>

<file path=xl/ctrlProps/ctrlProp138.xml><?xml version="1.0" encoding="utf-8"?>
<formControlPr xmlns="http://schemas.microsoft.com/office/spreadsheetml/2009/9/main" objectType="CheckBox" checked="Checked" fmlaLink="$N$28" noThreeD="1"/>
</file>

<file path=xl/ctrlProps/ctrlProp139.xml><?xml version="1.0" encoding="utf-8"?>
<formControlPr xmlns="http://schemas.microsoft.com/office/spreadsheetml/2009/9/main" objectType="CheckBox" checked="Checked" fmlaLink="$N$29" noThreeD="1"/>
</file>

<file path=xl/ctrlProps/ctrlProp140.xml><?xml version="1.0" encoding="utf-8"?>
<formControlPr xmlns="http://schemas.microsoft.com/office/spreadsheetml/2009/9/main" objectType="CheckBox" checked="Checked" fmlaLink="$N$30" noThreeD="1"/>
</file>

<file path=xl/ctrlProps/ctrlProp141.xml><?xml version="1.0" encoding="utf-8"?>
<formControlPr xmlns="http://schemas.microsoft.com/office/spreadsheetml/2009/9/main" objectType="CheckBox" checked="Checked" fmlaLink="$N$31" noThreeD="1"/>
</file>

<file path=xl/ctrlProps/ctrlProp142.xml><?xml version="1.0" encoding="utf-8"?>
<formControlPr xmlns="http://schemas.microsoft.com/office/spreadsheetml/2009/9/main" objectType="CheckBox" checked="Checked" fmlaLink="$N$32" noThreeD="1"/>
</file>

<file path=xl/ctrlProps/ctrlProp143.xml><?xml version="1.0" encoding="utf-8"?>
<formControlPr xmlns="http://schemas.microsoft.com/office/spreadsheetml/2009/9/main" objectType="CheckBox" checked="Checked" fmlaLink="$N$33" noThreeD="1"/>
</file>

<file path=xl/ctrlProps/ctrlProp144.xml><?xml version="1.0" encoding="utf-8"?>
<formControlPr xmlns="http://schemas.microsoft.com/office/spreadsheetml/2009/9/main" objectType="CheckBox" checked="Checked" fmlaLink="$N$34" noThreeD="1"/>
</file>

<file path=xl/ctrlProps/ctrlProp145.xml><?xml version="1.0" encoding="utf-8"?>
<formControlPr xmlns="http://schemas.microsoft.com/office/spreadsheetml/2009/9/main" objectType="CheckBox" checked="Checked" fmlaLink="$N$35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fmlaLink="$L$8" lockText="1" noThreeD="1"/>
</file>

<file path=xl/ctrlProps/ctrlProp148.xml><?xml version="1.0" encoding="utf-8"?>
<formControlPr xmlns="http://schemas.microsoft.com/office/spreadsheetml/2009/9/main" objectType="CheckBox" checked="Checked" fmlaLink="$L$9" lockText="1" noThreeD="1"/>
</file>

<file path=xl/ctrlProps/ctrlProp149.xml><?xml version="1.0" encoding="utf-8"?>
<formControlPr xmlns="http://schemas.microsoft.com/office/spreadsheetml/2009/9/main" objectType="CheckBox" checked="Checked" fmlaLink="$L$10" lockText="1" noThreeD="1"/>
</file>

<file path=xl/ctrlProps/ctrlProp150.xml><?xml version="1.0" encoding="utf-8"?>
<formControlPr xmlns="http://schemas.microsoft.com/office/spreadsheetml/2009/9/main" objectType="CheckBox" checked="Checked" fmlaLink="$L$11" lockText="1" noThreeD="1"/>
</file>

<file path=xl/ctrlProps/ctrlProp151.xml><?xml version="1.0" encoding="utf-8"?>
<formControlPr xmlns="http://schemas.microsoft.com/office/spreadsheetml/2009/9/main" objectType="CheckBox" checked="Checked" fmlaLink="$L$12" lockText="1" noThreeD="1"/>
</file>

<file path=xl/ctrlProps/ctrlProp152.xml><?xml version="1.0" encoding="utf-8"?>
<formControlPr xmlns="http://schemas.microsoft.com/office/spreadsheetml/2009/9/main" objectType="CheckBox" checked="Checked" fmlaLink="$L$13" lockText="1" noThreeD="1"/>
</file>

<file path=xl/ctrlProps/ctrlProp153.xml><?xml version="1.0" encoding="utf-8"?>
<formControlPr xmlns="http://schemas.microsoft.com/office/spreadsheetml/2009/9/main" objectType="CheckBox" checked="Checked" fmlaLink="$L$14" lockText="1" noThreeD="1"/>
</file>

<file path=xl/ctrlProps/ctrlProp154.xml><?xml version="1.0" encoding="utf-8"?>
<formControlPr xmlns="http://schemas.microsoft.com/office/spreadsheetml/2009/9/main" objectType="CheckBox" checked="Checked" fmlaLink="$L$15" lockText="1" noThreeD="1"/>
</file>

<file path=xl/ctrlProps/ctrlProp155.xml><?xml version="1.0" encoding="utf-8"?>
<formControlPr xmlns="http://schemas.microsoft.com/office/spreadsheetml/2009/9/main" objectType="CheckBox" checked="Checked" fmlaLink="$L$16" lockText="1" noThreeD="1"/>
</file>

<file path=xl/ctrlProps/ctrlProp156.xml><?xml version="1.0" encoding="utf-8"?>
<formControlPr xmlns="http://schemas.microsoft.com/office/spreadsheetml/2009/9/main" objectType="CheckBox" checked="Checked" fmlaLink="$L$17" lockText="1" noThreeD="1"/>
</file>

<file path=xl/ctrlProps/ctrlProp157.xml><?xml version="1.0" encoding="utf-8"?>
<formControlPr xmlns="http://schemas.microsoft.com/office/spreadsheetml/2009/9/main" objectType="CheckBox" checked="Checked" fmlaLink="$L$18" lockText="1" noThreeD="1"/>
</file>

<file path=xl/ctrlProps/ctrlProp158.xml><?xml version="1.0" encoding="utf-8"?>
<formControlPr xmlns="http://schemas.microsoft.com/office/spreadsheetml/2009/9/main" objectType="CheckBox" checked="Checked" fmlaLink="$L$19" lockText="1" noThreeD="1"/>
</file>

<file path=xl/ctrlProps/ctrlProp159.xml><?xml version="1.0" encoding="utf-8"?>
<formControlPr xmlns="http://schemas.microsoft.com/office/spreadsheetml/2009/9/main" objectType="CheckBox" checked="Checked" fmlaLink="$L$20" lockText="1" noThreeD="1"/>
</file>

<file path=xl/ctrlProps/ctrlProp160.xml><?xml version="1.0" encoding="utf-8"?>
<formControlPr xmlns="http://schemas.microsoft.com/office/spreadsheetml/2009/9/main" objectType="CheckBox" checked="Checked" fmlaLink="$L$21" lockText="1" noThreeD="1"/>
</file>

<file path=xl/ctrlProps/ctrlProp161.xml><?xml version="1.0" encoding="utf-8"?>
<formControlPr xmlns="http://schemas.microsoft.com/office/spreadsheetml/2009/9/main" objectType="CheckBox" checked="Checked" fmlaLink="$L$22" lockText="1" noThreeD="1"/>
</file>

<file path=xl/ctrlProps/ctrlProp162.xml><?xml version="1.0" encoding="utf-8"?>
<formControlPr xmlns="http://schemas.microsoft.com/office/spreadsheetml/2009/9/main" objectType="CheckBox" checked="Checked" fmlaLink="$L$23" lockText="1" noThreeD="1"/>
</file>

<file path=xl/ctrlProps/ctrlProp163.xml><?xml version="1.0" encoding="utf-8"?>
<formControlPr xmlns="http://schemas.microsoft.com/office/spreadsheetml/2009/9/main" objectType="CheckBox" checked="Checked" fmlaLink="$L$24" lockText="1" noThreeD="1"/>
</file>

<file path=xl/ctrlProps/ctrlProp164.xml><?xml version="1.0" encoding="utf-8"?>
<formControlPr xmlns="http://schemas.microsoft.com/office/spreadsheetml/2009/9/main" objectType="CheckBox" checked="Checked" fmlaLink="$L$25" lockText="1" noThreeD="1"/>
</file>

<file path=xl/ctrlProps/ctrlProp165.xml><?xml version="1.0" encoding="utf-8"?>
<formControlPr xmlns="http://schemas.microsoft.com/office/spreadsheetml/2009/9/main" objectType="CheckBox" checked="Checked" fmlaLink="$L$26" lockText="1" noThreeD="1"/>
</file>

<file path=xl/ctrlProps/ctrlProp166.xml><?xml version="1.0" encoding="utf-8"?>
<formControlPr xmlns="http://schemas.microsoft.com/office/spreadsheetml/2009/9/main" objectType="CheckBox" checked="Checked" fmlaLink="$L$27" lockText="1" noThreeD="1"/>
</file>

<file path=xl/ctrlProps/ctrlProp167.xml><?xml version="1.0" encoding="utf-8"?>
<formControlPr xmlns="http://schemas.microsoft.com/office/spreadsheetml/2009/9/main" objectType="CheckBox" checked="Checked" fmlaLink="$L$7" lockText="1" noThreeD="1"/>
</file>

<file path=xl/ctrlProps/ctrlProp168.xml><?xml version="1.0" encoding="utf-8"?>
<formControlPr xmlns="http://schemas.microsoft.com/office/spreadsheetml/2009/9/main" objectType="CheckBox" checked="Checked" fmlaLink="$L$6" lockText="1" noThreeD="1"/>
</file>

<file path=xl/ctrlProps/ctrlProp169.xml><?xml version="1.0" encoding="utf-8"?>
<formControlPr xmlns="http://schemas.microsoft.com/office/spreadsheetml/2009/9/main" objectType="CheckBox" checked="Checked" fmlaLink="$M$7" lockText="1" noThreeD="1"/>
</file>

<file path=xl/ctrlProps/ctrlProp170.xml><?xml version="1.0" encoding="utf-8"?>
<formControlPr xmlns="http://schemas.microsoft.com/office/spreadsheetml/2009/9/main" objectType="CheckBox" checked="Checked" fmlaLink="$M$8" lockText="1" noThreeD="1"/>
</file>

<file path=xl/ctrlProps/ctrlProp171.xml><?xml version="1.0" encoding="utf-8"?>
<formControlPr xmlns="http://schemas.microsoft.com/office/spreadsheetml/2009/9/main" objectType="CheckBox" checked="Checked" fmlaLink="$M$9" lockText="1" noThreeD="1"/>
</file>

<file path=xl/ctrlProps/ctrlProp172.xml><?xml version="1.0" encoding="utf-8"?>
<formControlPr xmlns="http://schemas.microsoft.com/office/spreadsheetml/2009/9/main" objectType="CheckBox" checked="Checked" fmlaLink="$M$10" lockText="1" noThreeD="1"/>
</file>

<file path=xl/ctrlProps/ctrlProp173.xml><?xml version="1.0" encoding="utf-8"?>
<formControlPr xmlns="http://schemas.microsoft.com/office/spreadsheetml/2009/9/main" objectType="CheckBox" checked="Checked" fmlaLink="$M$12" lockText="1" noThreeD="1"/>
</file>

<file path=xl/ctrlProps/ctrlProp174.xml><?xml version="1.0" encoding="utf-8"?>
<formControlPr xmlns="http://schemas.microsoft.com/office/spreadsheetml/2009/9/main" objectType="CheckBox" checked="Checked" fmlaLink="$M$13" lockText="1" noThreeD="1"/>
</file>

<file path=xl/ctrlProps/ctrlProp175.xml><?xml version="1.0" encoding="utf-8"?>
<formControlPr xmlns="http://schemas.microsoft.com/office/spreadsheetml/2009/9/main" objectType="CheckBox" checked="Checked" fmlaLink="$M$14" lockText="1" noThreeD="1"/>
</file>

<file path=xl/ctrlProps/ctrlProp176.xml><?xml version="1.0" encoding="utf-8"?>
<formControlPr xmlns="http://schemas.microsoft.com/office/spreadsheetml/2009/9/main" objectType="CheckBox" checked="Checked" fmlaLink="$M$15" lockText="1" noThreeD="1"/>
</file>

<file path=xl/ctrlProps/ctrlProp177.xml><?xml version="1.0" encoding="utf-8"?>
<formControlPr xmlns="http://schemas.microsoft.com/office/spreadsheetml/2009/9/main" objectType="CheckBox" checked="Checked" fmlaLink="$M$16" lockText="1" noThreeD="1"/>
</file>

<file path=xl/ctrlProps/ctrlProp178.xml><?xml version="1.0" encoding="utf-8"?>
<formControlPr xmlns="http://schemas.microsoft.com/office/spreadsheetml/2009/9/main" objectType="CheckBox" checked="Checked" fmlaLink="$M$17" lockText="1" noThreeD="1"/>
</file>

<file path=xl/ctrlProps/ctrlProp179.xml><?xml version="1.0" encoding="utf-8"?>
<formControlPr xmlns="http://schemas.microsoft.com/office/spreadsheetml/2009/9/main" objectType="CheckBox" checked="Checked" fmlaLink="$M$18" lockText="1" noThreeD="1"/>
</file>

<file path=xl/ctrlProps/ctrlProp180.xml><?xml version="1.0" encoding="utf-8"?>
<formControlPr xmlns="http://schemas.microsoft.com/office/spreadsheetml/2009/9/main" objectType="CheckBox" checked="Checked" fmlaLink="$M$19" lockText="1" noThreeD="1"/>
</file>

<file path=xl/ctrlProps/ctrlProp181.xml><?xml version="1.0" encoding="utf-8"?>
<formControlPr xmlns="http://schemas.microsoft.com/office/spreadsheetml/2009/9/main" objectType="CheckBox" checked="Checked" fmlaLink="$M$20" lockText="1" noThreeD="1"/>
</file>

<file path=xl/ctrlProps/ctrlProp182.xml><?xml version="1.0" encoding="utf-8"?>
<formControlPr xmlns="http://schemas.microsoft.com/office/spreadsheetml/2009/9/main" objectType="CheckBox" checked="Checked" fmlaLink="$M$21" lockText="1" noThreeD="1"/>
</file>

<file path=xl/ctrlProps/ctrlProp183.xml><?xml version="1.0" encoding="utf-8"?>
<formControlPr xmlns="http://schemas.microsoft.com/office/spreadsheetml/2009/9/main" objectType="CheckBox" checked="Checked" fmlaLink="$M$22" lockText="1" noThreeD="1"/>
</file>

<file path=xl/ctrlProps/ctrlProp184.xml><?xml version="1.0" encoding="utf-8"?>
<formControlPr xmlns="http://schemas.microsoft.com/office/spreadsheetml/2009/9/main" objectType="CheckBox" checked="Checked" fmlaLink="$M$23" lockText="1" noThreeD="1"/>
</file>

<file path=xl/ctrlProps/ctrlProp185.xml><?xml version="1.0" encoding="utf-8"?>
<formControlPr xmlns="http://schemas.microsoft.com/office/spreadsheetml/2009/9/main" objectType="CheckBox" checked="Checked" fmlaLink="$M$24" lockText="1" noThreeD="1"/>
</file>

<file path=xl/ctrlProps/ctrlProp186.xml><?xml version="1.0" encoding="utf-8"?>
<formControlPr xmlns="http://schemas.microsoft.com/office/spreadsheetml/2009/9/main" objectType="CheckBox" checked="Checked" fmlaLink="$M$25" lockText="1" noThreeD="1"/>
</file>

<file path=xl/ctrlProps/ctrlProp187.xml><?xml version="1.0" encoding="utf-8"?>
<formControlPr xmlns="http://schemas.microsoft.com/office/spreadsheetml/2009/9/main" objectType="CheckBox" checked="Checked" fmlaLink="$M$26" lockText="1" noThreeD="1"/>
</file>

<file path=xl/ctrlProps/ctrlProp188.xml><?xml version="1.0" encoding="utf-8"?>
<formControlPr xmlns="http://schemas.microsoft.com/office/spreadsheetml/2009/9/main" objectType="CheckBox" checked="Checked" fmlaLink="$M$27" lockText="1" noThreeD="1"/>
</file>

<file path=xl/ctrlProps/ctrlProp189.xml><?xml version="1.0" encoding="utf-8"?>
<formControlPr xmlns="http://schemas.microsoft.com/office/spreadsheetml/2009/9/main" objectType="CheckBox" checked="Checked" fmlaLink="$M$6" lockText="1" noThreeD="1"/>
</file>

<file path=xl/ctrlProps/ctrlProp190.xml><?xml version="1.0" encoding="utf-8"?>
<formControlPr xmlns="http://schemas.microsoft.com/office/spreadsheetml/2009/9/main" objectType="CheckBox" checked="Checked" fmlaLink="$M$5" lockText="1" noThreeD="1"/>
</file>

<file path=xl/ctrlProps/ctrlProp191.xml><?xml version="1.0" encoding="utf-8"?>
<formControlPr xmlns="http://schemas.microsoft.com/office/spreadsheetml/2009/9/main" objectType="CheckBox" checked="Checked" fmlaLink="$L$5" lockText="1" noThreeD="1"/>
</file>

<file path=xl/ctrlProps/ctrlProp192.xml><?xml version="1.0" encoding="utf-8"?>
<formControlPr xmlns="http://schemas.microsoft.com/office/spreadsheetml/2009/9/main" objectType="CheckBox" checked="Checked" fmlaLink="$M$11" lockText="1" noThreeD="1"/>
</file>

<file path=xl/ctrlProps/ctrlProp193.xml><?xml version="1.0" encoding="utf-8"?>
<formControlPr xmlns="http://schemas.microsoft.com/office/spreadsheetml/2009/9/main" objectType="CheckBox" checked="Checked" fmlaLink="$L$28" lockText="1" noThreeD="1"/>
</file>

<file path=xl/ctrlProps/ctrlProp194.xml><?xml version="1.0" encoding="utf-8"?>
<formControlPr xmlns="http://schemas.microsoft.com/office/spreadsheetml/2009/9/main" objectType="CheckBox" checked="Checked" fmlaLink="$L$29" lockText="1" noThreeD="1"/>
</file>

<file path=xl/ctrlProps/ctrlProp195.xml><?xml version="1.0" encoding="utf-8"?>
<formControlPr xmlns="http://schemas.microsoft.com/office/spreadsheetml/2009/9/main" objectType="CheckBox" checked="Checked" fmlaLink="$L$30" lockText="1" noThreeD="1"/>
</file>

<file path=xl/ctrlProps/ctrlProp196.xml><?xml version="1.0" encoding="utf-8"?>
<formControlPr xmlns="http://schemas.microsoft.com/office/spreadsheetml/2009/9/main" objectType="CheckBox" checked="Checked" fmlaLink="$L$31" lockText="1" noThreeD="1"/>
</file>

<file path=xl/ctrlProps/ctrlProp197.xml><?xml version="1.0" encoding="utf-8"?>
<formControlPr xmlns="http://schemas.microsoft.com/office/spreadsheetml/2009/9/main" objectType="CheckBox" checked="Checked" fmlaLink="$L$32" lockText="1" noThreeD="1"/>
</file>

<file path=xl/ctrlProps/ctrlProp198.xml><?xml version="1.0" encoding="utf-8"?>
<formControlPr xmlns="http://schemas.microsoft.com/office/spreadsheetml/2009/9/main" objectType="CheckBox" checked="Checked" fmlaLink="$L$33" lockText="1" noThreeD="1"/>
</file>

<file path=xl/ctrlProps/ctrlProp199.xml><?xml version="1.0" encoding="utf-8"?>
<formControlPr xmlns="http://schemas.microsoft.com/office/spreadsheetml/2009/9/main" objectType="CheckBox" checked="Checked" fmlaLink="$L$34" lockText="1" noThreeD="1"/>
</file>

<file path=xl/ctrlProps/ctrlProp200.xml><?xml version="1.0" encoding="utf-8"?>
<formControlPr xmlns="http://schemas.microsoft.com/office/spreadsheetml/2009/9/main" objectType="CheckBox" checked="Checked" fmlaLink="$M$28" lockText="1" noThreeD="1"/>
</file>

<file path=xl/ctrlProps/ctrlProp201.xml><?xml version="1.0" encoding="utf-8"?>
<formControlPr xmlns="http://schemas.microsoft.com/office/spreadsheetml/2009/9/main" objectType="CheckBox" checked="Checked" fmlaLink="$M$29" lockText="1" noThreeD="1"/>
</file>

<file path=xl/ctrlProps/ctrlProp202.xml><?xml version="1.0" encoding="utf-8"?>
<formControlPr xmlns="http://schemas.microsoft.com/office/spreadsheetml/2009/9/main" objectType="CheckBox" checked="Checked" fmlaLink="$M$30" lockText="1" noThreeD="1"/>
</file>

<file path=xl/ctrlProps/ctrlProp203.xml><?xml version="1.0" encoding="utf-8"?>
<formControlPr xmlns="http://schemas.microsoft.com/office/spreadsheetml/2009/9/main" objectType="CheckBox" checked="Checked" fmlaLink="$M$31" lockText="1" noThreeD="1"/>
</file>

<file path=xl/ctrlProps/ctrlProp204.xml><?xml version="1.0" encoding="utf-8"?>
<formControlPr xmlns="http://schemas.microsoft.com/office/spreadsheetml/2009/9/main" objectType="CheckBox" checked="Checked" fmlaLink="$M$32" lockText="1" noThreeD="1"/>
</file>

<file path=xl/ctrlProps/ctrlProp205.xml><?xml version="1.0" encoding="utf-8"?>
<formControlPr xmlns="http://schemas.microsoft.com/office/spreadsheetml/2009/9/main" objectType="CheckBox" checked="Checked" fmlaLink="$M$33" lockText="1" noThreeD="1"/>
</file>

<file path=xl/ctrlProps/ctrlProp206.xml><?xml version="1.0" encoding="utf-8"?>
<formControlPr xmlns="http://schemas.microsoft.com/office/spreadsheetml/2009/9/main" objectType="CheckBox" checked="Checked" fmlaLink="$M$34" lockText="1" noThreeD="1"/>
</file>

<file path=xl/ctrlProps/ctrlProp207.xml><?xml version="1.0" encoding="utf-8"?>
<formControlPr xmlns="http://schemas.microsoft.com/office/spreadsheetml/2009/9/main" objectType="CheckBox" checked="Checked" fmlaLink="$L$35" lockText="1" noThreeD="1"/>
</file>

<file path=xl/ctrlProps/ctrlProp208.xml><?xml version="1.0" encoding="utf-8"?>
<formControlPr xmlns="http://schemas.microsoft.com/office/spreadsheetml/2009/9/main" objectType="CheckBox" checked="Checked" fmlaLink="$M$35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CheckBox" checked="Checked" fmlaLink="$M$8" lockText="1" noThreeD="1"/>
</file>

<file path=xl/ctrlProps/ctrlProp211.xml><?xml version="1.0" encoding="utf-8"?>
<formControlPr xmlns="http://schemas.microsoft.com/office/spreadsheetml/2009/9/main" objectType="CheckBox" checked="Checked" fmlaLink="$M$9" lockText="1" noThreeD="1"/>
</file>

<file path=xl/ctrlProps/ctrlProp212.xml><?xml version="1.0" encoding="utf-8"?>
<formControlPr xmlns="http://schemas.microsoft.com/office/spreadsheetml/2009/9/main" objectType="CheckBox" checked="Checked" fmlaLink="$M$10" lockText="1" noThreeD="1"/>
</file>

<file path=xl/ctrlProps/ctrlProp213.xml><?xml version="1.0" encoding="utf-8"?>
<formControlPr xmlns="http://schemas.microsoft.com/office/spreadsheetml/2009/9/main" objectType="CheckBox" checked="Checked" fmlaLink="$M$11" lockText="1" noThreeD="1"/>
</file>

<file path=xl/ctrlProps/ctrlProp214.xml><?xml version="1.0" encoding="utf-8"?>
<formControlPr xmlns="http://schemas.microsoft.com/office/spreadsheetml/2009/9/main" objectType="CheckBox" checked="Checked" fmlaLink="$M$12" lockText="1" noThreeD="1"/>
</file>

<file path=xl/ctrlProps/ctrlProp215.xml><?xml version="1.0" encoding="utf-8"?>
<formControlPr xmlns="http://schemas.microsoft.com/office/spreadsheetml/2009/9/main" objectType="CheckBox" checked="Checked" fmlaLink="$M$13" lockText="1" noThreeD="1"/>
</file>

<file path=xl/ctrlProps/ctrlProp216.xml><?xml version="1.0" encoding="utf-8"?>
<formControlPr xmlns="http://schemas.microsoft.com/office/spreadsheetml/2009/9/main" objectType="CheckBox" checked="Checked" fmlaLink="$M$14" lockText="1" noThreeD="1"/>
</file>

<file path=xl/ctrlProps/ctrlProp217.xml><?xml version="1.0" encoding="utf-8"?>
<formControlPr xmlns="http://schemas.microsoft.com/office/spreadsheetml/2009/9/main" objectType="CheckBox" checked="Checked" fmlaLink="$M$15" lockText="1" noThreeD="1"/>
</file>

<file path=xl/ctrlProps/ctrlProp218.xml><?xml version="1.0" encoding="utf-8"?>
<formControlPr xmlns="http://schemas.microsoft.com/office/spreadsheetml/2009/9/main" objectType="CheckBox" checked="Checked" fmlaLink="$M$16" lockText="1" noThreeD="1"/>
</file>

<file path=xl/ctrlProps/ctrlProp219.xml><?xml version="1.0" encoding="utf-8"?>
<formControlPr xmlns="http://schemas.microsoft.com/office/spreadsheetml/2009/9/main" objectType="CheckBox" checked="Checked" fmlaLink="$M$17" lockText="1" noThreeD="1"/>
</file>

<file path=xl/ctrlProps/ctrlProp220.xml><?xml version="1.0" encoding="utf-8"?>
<formControlPr xmlns="http://schemas.microsoft.com/office/spreadsheetml/2009/9/main" objectType="CheckBox" checked="Checked" fmlaLink="$M$18" lockText="1" noThreeD="1"/>
</file>

<file path=xl/ctrlProps/ctrlProp221.xml><?xml version="1.0" encoding="utf-8"?>
<formControlPr xmlns="http://schemas.microsoft.com/office/spreadsheetml/2009/9/main" objectType="CheckBox" checked="Checked" fmlaLink="$M$19" lockText="1" noThreeD="1"/>
</file>

<file path=xl/ctrlProps/ctrlProp222.xml><?xml version="1.0" encoding="utf-8"?>
<formControlPr xmlns="http://schemas.microsoft.com/office/spreadsheetml/2009/9/main" objectType="CheckBox" checked="Checked" fmlaLink="$M$20" lockText="1" noThreeD="1"/>
</file>

<file path=xl/ctrlProps/ctrlProp223.xml><?xml version="1.0" encoding="utf-8"?>
<formControlPr xmlns="http://schemas.microsoft.com/office/spreadsheetml/2009/9/main" objectType="CheckBox" checked="Checked" fmlaLink="$M$21" lockText="1" noThreeD="1"/>
</file>

<file path=xl/ctrlProps/ctrlProp224.xml><?xml version="1.0" encoding="utf-8"?>
<formControlPr xmlns="http://schemas.microsoft.com/office/spreadsheetml/2009/9/main" objectType="CheckBox" checked="Checked" fmlaLink="$M$22" lockText="1" noThreeD="1"/>
</file>

<file path=xl/ctrlProps/ctrlProp225.xml><?xml version="1.0" encoding="utf-8"?>
<formControlPr xmlns="http://schemas.microsoft.com/office/spreadsheetml/2009/9/main" objectType="CheckBox" checked="Checked" fmlaLink="$M$23" lockText="1" noThreeD="1"/>
</file>

<file path=xl/ctrlProps/ctrlProp226.xml><?xml version="1.0" encoding="utf-8"?>
<formControlPr xmlns="http://schemas.microsoft.com/office/spreadsheetml/2009/9/main" objectType="CheckBox" checked="Checked" fmlaLink="$M$24" lockText="1" noThreeD="1"/>
</file>

<file path=xl/ctrlProps/ctrlProp227.xml><?xml version="1.0" encoding="utf-8"?>
<formControlPr xmlns="http://schemas.microsoft.com/office/spreadsheetml/2009/9/main" objectType="CheckBox" checked="Checked" fmlaLink="$M$25" lockText="1" noThreeD="1"/>
</file>

<file path=xl/ctrlProps/ctrlProp228.xml><?xml version="1.0" encoding="utf-8"?>
<formControlPr xmlns="http://schemas.microsoft.com/office/spreadsheetml/2009/9/main" objectType="CheckBox" checked="Checked" fmlaLink="$M$26" lockText="1" noThreeD="1"/>
</file>

<file path=xl/ctrlProps/ctrlProp229.xml><?xml version="1.0" encoding="utf-8"?>
<formControlPr xmlns="http://schemas.microsoft.com/office/spreadsheetml/2009/9/main" objectType="CheckBox" checked="Checked" fmlaLink="$M$27" lockText="1" noThreeD="1"/>
</file>

<file path=xl/ctrlProps/ctrlProp230.xml><?xml version="1.0" encoding="utf-8"?>
<formControlPr xmlns="http://schemas.microsoft.com/office/spreadsheetml/2009/9/main" objectType="CheckBox" checked="Checked" fmlaLink="$M$7" lockText="1" noThreeD="1"/>
</file>

<file path=xl/ctrlProps/ctrlProp231.xml><?xml version="1.0" encoding="utf-8"?>
<formControlPr xmlns="http://schemas.microsoft.com/office/spreadsheetml/2009/9/main" objectType="CheckBox" checked="Checked" fmlaLink="$M$6" lockText="1" noThreeD="1"/>
</file>

<file path=xl/ctrlProps/ctrlProp232.xml><?xml version="1.0" encoding="utf-8"?>
<formControlPr xmlns="http://schemas.microsoft.com/office/spreadsheetml/2009/9/main" objectType="CheckBox" checked="Checked" fmlaLink="$O$7" lockText="1" noThreeD="1"/>
</file>

<file path=xl/ctrlProps/ctrlProp233.xml><?xml version="1.0" encoding="utf-8"?>
<formControlPr xmlns="http://schemas.microsoft.com/office/spreadsheetml/2009/9/main" objectType="CheckBox" checked="Checked" fmlaLink="$O$8" lockText="1" noThreeD="1"/>
</file>

<file path=xl/ctrlProps/ctrlProp234.xml><?xml version="1.0" encoding="utf-8"?>
<formControlPr xmlns="http://schemas.microsoft.com/office/spreadsheetml/2009/9/main" objectType="CheckBox" checked="Checked" fmlaLink="$O$9" lockText="1" noThreeD="1"/>
</file>

<file path=xl/ctrlProps/ctrlProp235.xml><?xml version="1.0" encoding="utf-8"?>
<formControlPr xmlns="http://schemas.microsoft.com/office/spreadsheetml/2009/9/main" objectType="CheckBox" checked="Checked" fmlaLink="$O$10" lockText="1" noThreeD="1"/>
</file>

<file path=xl/ctrlProps/ctrlProp236.xml><?xml version="1.0" encoding="utf-8"?>
<formControlPr xmlns="http://schemas.microsoft.com/office/spreadsheetml/2009/9/main" objectType="CheckBox" checked="Checked" fmlaLink="$O$12" lockText="1" noThreeD="1"/>
</file>

<file path=xl/ctrlProps/ctrlProp237.xml><?xml version="1.0" encoding="utf-8"?>
<formControlPr xmlns="http://schemas.microsoft.com/office/spreadsheetml/2009/9/main" objectType="CheckBox" checked="Checked" fmlaLink="$O$13" lockText="1" noThreeD="1"/>
</file>

<file path=xl/ctrlProps/ctrlProp238.xml><?xml version="1.0" encoding="utf-8"?>
<formControlPr xmlns="http://schemas.microsoft.com/office/spreadsheetml/2009/9/main" objectType="CheckBox" checked="Checked" fmlaLink="$O$14" lockText="1" noThreeD="1"/>
</file>

<file path=xl/ctrlProps/ctrlProp239.xml><?xml version="1.0" encoding="utf-8"?>
<formControlPr xmlns="http://schemas.microsoft.com/office/spreadsheetml/2009/9/main" objectType="CheckBox" checked="Checked" fmlaLink="$O$15" lockText="1" noThreeD="1"/>
</file>

<file path=xl/ctrlProps/ctrlProp240.xml><?xml version="1.0" encoding="utf-8"?>
<formControlPr xmlns="http://schemas.microsoft.com/office/spreadsheetml/2009/9/main" objectType="CheckBox" checked="Checked" fmlaLink="$O$16" lockText="1" noThreeD="1"/>
</file>

<file path=xl/ctrlProps/ctrlProp241.xml><?xml version="1.0" encoding="utf-8"?>
<formControlPr xmlns="http://schemas.microsoft.com/office/spreadsheetml/2009/9/main" objectType="CheckBox" checked="Checked" fmlaLink="$O$17" lockText="1" noThreeD="1"/>
</file>

<file path=xl/ctrlProps/ctrlProp242.xml><?xml version="1.0" encoding="utf-8"?>
<formControlPr xmlns="http://schemas.microsoft.com/office/spreadsheetml/2009/9/main" objectType="CheckBox" checked="Checked" fmlaLink="$O$18" lockText="1" noThreeD="1"/>
</file>

<file path=xl/ctrlProps/ctrlProp243.xml><?xml version="1.0" encoding="utf-8"?>
<formControlPr xmlns="http://schemas.microsoft.com/office/spreadsheetml/2009/9/main" objectType="CheckBox" checked="Checked" fmlaLink="$O$19" lockText="1" noThreeD="1"/>
</file>

<file path=xl/ctrlProps/ctrlProp244.xml><?xml version="1.0" encoding="utf-8"?>
<formControlPr xmlns="http://schemas.microsoft.com/office/spreadsheetml/2009/9/main" objectType="CheckBox" checked="Checked" fmlaLink="$O$20" lockText="1" noThreeD="1"/>
</file>

<file path=xl/ctrlProps/ctrlProp245.xml><?xml version="1.0" encoding="utf-8"?>
<formControlPr xmlns="http://schemas.microsoft.com/office/spreadsheetml/2009/9/main" objectType="CheckBox" checked="Checked" fmlaLink="$O$21" lockText="1" noThreeD="1"/>
</file>

<file path=xl/ctrlProps/ctrlProp246.xml><?xml version="1.0" encoding="utf-8"?>
<formControlPr xmlns="http://schemas.microsoft.com/office/spreadsheetml/2009/9/main" objectType="CheckBox" checked="Checked" fmlaLink="$O$22" lockText="1" noThreeD="1"/>
</file>

<file path=xl/ctrlProps/ctrlProp247.xml><?xml version="1.0" encoding="utf-8"?>
<formControlPr xmlns="http://schemas.microsoft.com/office/spreadsheetml/2009/9/main" objectType="CheckBox" checked="Checked" fmlaLink="$O$23" lockText="1" noThreeD="1"/>
</file>

<file path=xl/ctrlProps/ctrlProp248.xml><?xml version="1.0" encoding="utf-8"?>
<formControlPr xmlns="http://schemas.microsoft.com/office/spreadsheetml/2009/9/main" objectType="CheckBox" checked="Checked" fmlaLink="$O$24" lockText="1" noThreeD="1"/>
</file>

<file path=xl/ctrlProps/ctrlProp249.xml><?xml version="1.0" encoding="utf-8"?>
<formControlPr xmlns="http://schemas.microsoft.com/office/spreadsheetml/2009/9/main" objectType="CheckBox" checked="Checked" fmlaLink="$O$25" lockText="1" noThreeD="1"/>
</file>

<file path=xl/ctrlProps/ctrlProp250.xml><?xml version="1.0" encoding="utf-8"?>
<formControlPr xmlns="http://schemas.microsoft.com/office/spreadsheetml/2009/9/main" objectType="CheckBox" checked="Checked" fmlaLink="$O$26" lockText="1" noThreeD="1"/>
</file>

<file path=xl/ctrlProps/ctrlProp251.xml><?xml version="1.0" encoding="utf-8"?>
<formControlPr xmlns="http://schemas.microsoft.com/office/spreadsheetml/2009/9/main" objectType="CheckBox" checked="Checked" fmlaLink="$O$27" lockText="1" noThreeD="1"/>
</file>

<file path=xl/ctrlProps/ctrlProp252.xml><?xml version="1.0" encoding="utf-8"?>
<formControlPr xmlns="http://schemas.microsoft.com/office/spreadsheetml/2009/9/main" objectType="CheckBox" checked="Checked" fmlaLink="$O$6" lockText="1" noThreeD="1"/>
</file>

<file path=xl/ctrlProps/ctrlProp253.xml><?xml version="1.0" encoding="utf-8"?>
<formControlPr xmlns="http://schemas.microsoft.com/office/spreadsheetml/2009/9/main" objectType="CheckBox" checked="Checked" fmlaLink="$O$5" lockText="1" noThreeD="1"/>
</file>

<file path=xl/ctrlProps/ctrlProp254.xml><?xml version="1.0" encoding="utf-8"?>
<formControlPr xmlns="http://schemas.microsoft.com/office/spreadsheetml/2009/9/main" objectType="CheckBox" checked="Checked" fmlaLink="$P$5" lockText="1" noThreeD="1"/>
</file>

<file path=xl/ctrlProps/ctrlProp255.xml><?xml version="1.0" encoding="utf-8"?>
<formControlPr xmlns="http://schemas.microsoft.com/office/spreadsheetml/2009/9/main" objectType="CheckBox" checked="Checked" fmlaLink="$M$5" lockText="1" noThreeD="1"/>
</file>

<file path=xl/ctrlProps/ctrlProp256.xml><?xml version="1.0" encoding="utf-8"?>
<formControlPr xmlns="http://schemas.microsoft.com/office/spreadsheetml/2009/9/main" objectType="CheckBox" checked="Checked" fmlaLink="$O$11" lockText="1" noThreeD="1"/>
</file>

<file path=xl/ctrlProps/ctrlProp257.xml><?xml version="1.0" encoding="utf-8"?>
<formControlPr xmlns="http://schemas.microsoft.com/office/spreadsheetml/2009/9/main" objectType="CheckBox" checked="Checked" fmlaLink="$M$28" lockText="1" noThreeD="1"/>
</file>

<file path=xl/ctrlProps/ctrlProp258.xml><?xml version="1.0" encoding="utf-8"?>
<formControlPr xmlns="http://schemas.microsoft.com/office/spreadsheetml/2009/9/main" objectType="CheckBox" checked="Checked" fmlaLink="$M$29" lockText="1" noThreeD="1"/>
</file>

<file path=xl/ctrlProps/ctrlProp259.xml><?xml version="1.0" encoding="utf-8"?>
<formControlPr xmlns="http://schemas.microsoft.com/office/spreadsheetml/2009/9/main" objectType="CheckBox" checked="Checked" fmlaLink="$M$30" lockText="1" noThreeD="1"/>
</file>

<file path=xl/ctrlProps/ctrlProp260.xml><?xml version="1.0" encoding="utf-8"?>
<formControlPr xmlns="http://schemas.microsoft.com/office/spreadsheetml/2009/9/main" objectType="CheckBox" checked="Checked" fmlaLink="$M$31" lockText="1" noThreeD="1"/>
</file>

<file path=xl/ctrlProps/ctrlProp261.xml><?xml version="1.0" encoding="utf-8"?>
<formControlPr xmlns="http://schemas.microsoft.com/office/spreadsheetml/2009/9/main" objectType="CheckBox" checked="Checked" fmlaLink="$M$32" lockText="1" noThreeD="1"/>
</file>

<file path=xl/ctrlProps/ctrlProp262.xml><?xml version="1.0" encoding="utf-8"?>
<formControlPr xmlns="http://schemas.microsoft.com/office/spreadsheetml/2009/9/main" objectType="CheckBox" checked="Checked" fmlaLink="$M$33" lockText="1" noThreeD="1"/>
</file>

<file path=xl/ctrlProps/ctrlProp263.xml><?xml version="1.0" encoding="utf-8"?>
<formControlPr xmlns="http://schemas.microsoft.com/office/spreadsheetml/2009/9/main" objectType="CheckBox" checked="Checked" fmlaLink="$M$34" lockText="1" noThreeD="1"/>
</file>

<file path=xl/ctrlProps/ctrlProp264.xml><?xml version="1.0" encoding="utf-8"?>
<formControlPr xmlns="http://schemas.microsoft.com/office/spreadsheetml/2009/9/main" objectType="CheckBox" checked="Checked" fmlaLink="$O$28" lockText="1" noThreeD="1"/>
</file>

<file path=xl/ctrlProps/ctrlProp265.xml><?xml version="1.0" encoding="utf-8"?>
<formControlPr xmlns="http://schemas.microsoft.com/office/spreadsheetml/2009/9/main" objectType="CheckBox" checked="Checked" fmlaLink="$O$29" lockText="1" noThreeD="1"/>
</file>

<file path=xl/ctrlProps/ctrlProp266.xml><?xml version="1.0" encoding="utf-8"?>
<formControlPr xmlns="http://schemas.microsoft.com/office/spreadsheetml/2009/9/main" objectType="CheckBox" checked="Checked" fmlaLink="$O$30" lockText="1" noThreeD="1"/>
</file>

<file path=xl/ctrlProps/ctrlProp267.xml><?xml version="1.0" encoding="utf-8"?>
<formControlPr xmlns="http://schemas.microsoft.com/office/spreadsheetml/2009/9/main" objectType="CheckBox" checked="Checked" fmlaLink="$O$31" lockText="1" noThreeD="1"/>
</file>

<file path=xl/ctrlProps/ctrlProp268.xml><?xml version="1.0" encoding="utf-8"?>
<formControlPr xmlns="http://schemas.microsoft.com/office/spreadsheetml/2009/9/main" objectType="CheckBox" checked="Checked" fmlaLink="$O$32" lockText="1" noThreeD="1"/>
</file>

<file path=xl/ctrlProps/ctrlProp269.xml><?xml version="1.0" encoding="utf-8"?>
<formControlPr xmlns="http://schemas.microsoft.com/office/spreadsheetml/2009/9/main" objectType="CheckBox" checked="Checked" fmlaLink="$O$33" lockText="1" noThreeD="1"/>
</file>

<file path=xl/ctrlProps/ctrlProp270.xml><?xml version="1.0" encoding="utf-8"?>
<formControlPr xmlns="http://schemas.microsoft.com/office/spreadsheetml/2009/9/main" objectType="CheckBox" checked="Checked" fmlaLink="$O$34" lockText="1" noThreeD="1"/>
</file>

<file path=xl/ctrlProps/ctrlProp271.xml><?xml version="1.0" encoding="utf-8"?>
<formControlPr xmlns="http://schemas.microsoft.com/office/spreadsheetml/2009/9/main" objectType="CheckBox" checked="Checked" fmlaLink="$M$35" lockText="1" noThreeD="1"/>
</file>

<file path=xl/ctrlProps/ctrlProp272.xml><?xml version="1.0" encoding="utf-8"?>
<formControlPr xmlns="http://schemas.microsoft.com/office/spreadsheetml/2009/9/main" objectType="CheckBox" checked="Checked" fmlaLink="$O$35" lockText="1" noThreeD="1"/>
</file>

<file path=xl/ctrlProps/ctrlProp273.xml><?xml version="1.0" encoding="utf-8"?>
<formControlPr xmlns="http://schemas.microsoft.com/office/spreadsheetml/2009/9/main" objectType="CheckBox" checked="Checked" fmlaLink="$P$6" lockText="1" noThreeD="1"/>
</file>

<file path=xl/ctrlProps/ctrlProp274.xml><?xml version="1.0" encoding="utf-8"?>
<formControlPr xmlns="http://schemas.microsoft.com/office/spreadsheetml/2009/9/main" objectType="CheckBox" checked="Checked" fmlaLink="$P$7" lockText="1" noThreeD="1"/>
</file>

<file path=xl/ctrlProps/ctrlProp275.xml><?xml version="1.0" encoding="utf-8"?>
<formControlPr xmlns="http://schemas.microsoft.com/office/spreadsheetml/2009/9/main" objectType="CheckBox" checked="Checked" fmlaLink="$P$8" lockText="1" noThreeD="1"/>
</file>

<file path=xl/ctrlProps/ctrlProp276.xml><?xml version="1.0" encoding="utf-8"?>
<formControlPr xmlns="http://schemas.microsoft.com/office/spreadsheetml/2009/9/main" objectType="CheckBox" checked="Checked" fmlaLink="$P$9" lockText="1" noThreeD="1"/>
</file>

<file path=xl/ctrlProps/ctrlProp277.xml><?xml version="1.0" encoding="utf-8"?>
<formControlPr xmlns="http://schemas.microsoft.com/office/spreadsheetml/2009/9/main" objectType="CheckBox" checked="Checked" fmlaLink="$P$10" lockText="1" noThreeD="1"/>
</file>

<file path=xl/ctrlProps/ctrlProp278.xml><?xml version="1.0" encoding="utf-8"?>
<formControlPr xmlns="http://schemas.microsoft.com/office/spreadsheetml/2009/9/main" objectType="CheckBox" checked="Checked" fmlaLink="$P$11" lockText="1" noThreeD="1"/>
</file>

<file path=xl/ctrlProps/ctrlProp279.xml><?xml version="1.0" encoding="utf-8"?>
<formControlPr xmlns="http://schemas.microsoft.com/office/spreadsheetml/2009/9/main" objectType="CheckBox" checked="Checked" fmlaLink="$P$12" lockText="1" noThreeD="1"/>
</file>

<file path=xl/ctrlProps/ctrlProp280.xml><?xml version="1.0" encoding="utf-8"?>
<formControlPr xmlns="http://schemas.microsoft.com/office/spreadsheetml/2009/9/main" objectType="CheckBox" checked="Checked" fmlaLink="$P$13" lockText="1" noThreeD="1"/>
</file>

<file path=xl/ctrlProps/ctrlProp281.xml><?xml version="1.0" encoding="utf-8"?>
<formControlPr xmlns="http://schemas.microsoft.com/office/spreadsheetml/2009/9/main" objectType="CheckBox" checked="Checked" fmlaLink="$P$14" lockText="1" noThreeD="1"/>
</file>

<file path=xl/ctrlProps/ctrlProp282.xml><?xml version="1.0" encoding="utf-8"?>
<formControlPr xmlns="http://schemas.microsoft.com/office/spreadsheetml/2009/9/main" objectType="CheckBox" checked="Checked" fmlaLink="$P$15" lockText="1" noThreeD="1"/>
</file>

<file path=xl/ctrlProps/ctrlProp283.xml><?xml version="1.0" encoding="utf-8"?>
<formControlPr xmlns="http://schemas.microsoft.com/office/spreadsheetml/2009/9/main" objectType="CheckBox" checked="Checked" fmlaLink="$P$16" lockText="1" noThreeD="1"/>
</file>

<file path=xl/ctrlProps/ctrlProp284.xml><?xml version="1.0" encoding="utf-8"?>
<formControlPr xmlns="http://schemas.microsoft.com/office/spreadsheetml/2009/9/main" objectType="CheckBox" checked="Checked" fmlaLink="$P$17" lockText="1" noThreeD="1"/>
</file>

<file path=xl/ctrlProps/ctrlProp285.xml><?xml version="1.0" encoding="utf-8"?>
<formControlPr xmlns="http://schemas.microsoft.com/office/spreadsheetml/2009/9/main" objectType="CheckBox" checked="Checked" fmlaLink="$P$18" lockText="1" noThreeD="1"/>
</file>

<file path=xl/ctrlProps/ctrlProp286.xml><?xml version="1.0" encoding="utf-8"?>
<formControlPr xmlns="http://schemas.microsoft.com/office/spreadsheetml/2009/9/main" objectType="CheckBox" checked="Checked" fmlaLink="$P$19" lockText="1" noThreeD="1"/>
</file>

<file path=xl/ctrlProps/ctrlProp287.xml><?xml version="1.0" encoding="utf-8"?>
<formControlPr xmlns="http://schemas.microsoft.com/office/spreadsheetml/2009/9/main" objectType="CheckBox" checked="Checked" fmlaLink="$P$20" lockText="1" noThreeD="1"/>
</file>

<file path=xl/ctrlProps/ctrlProp288.xml><?xml version="1.0" encoding="utf-8"?>
<formControlPr xmlns="http://schemas.microsoft.com/office/spreadsheetml/2009/9/main" objectType="CheckBox" checked="Checked" fmlaLink="$P$21" lockText="1" noThreeD="1"/>
</file>

<file path=xl/ctrlProps/ctrlProp289.xml><?xml version="1.0" encoding="utf-8"?>
<formControlPr xmlns="http://schemas.microsoft.com/office/spreadsheetml/2009/9/main" objectType="CheckBox" checked="Checked" fmlaLink="$P$22" lockText="1" noThreeD="1"/>
</file>

<file path=xl/ctrlProps/ctrlProp290.xml><?xml version="1.0" encoding="utf-8"?>
<formControlPr xmlns="http://schemas.microsoft.com/office/spreadsheetml/2009/9/main" objectType="CheckBox" checked="Checked" fmlaLink="$P$23" lockText="1" noThreeD="1"/>
</file>

<file path=xl/ctrlProps/ctrlProp291.xml><?xml version="1.0" encoding="utf-8"?>
<formControlPr xmlns="http://schemas.microsoft.com/office/spreadsheetml/2009/9/main" objectType="CheckBox" checked="Checked" fmlaLink="$P$24" lockText="1" noThreeD="1"/>
</file>

<file path=xl/ctrlProps/ctrlProp292.xml><?xml version="1.0" encoding="utf-8"?>
<formControlPr xmlns="http://schemas.microsoft.com/office/spreadsheetml/2009/9/main" objectType="CheckBox" checked="Checked" fmlaLink="$P$25" lockText="1" noThreeD="1"/>
</file>

<file path=xl/ctrlProps/ctrlProp293.xml><?xml version="1.0" encoding="utf-8"?>
<formControlPr xmlns="http://schemas.microsoft.com/office/spreadsheetml/2009/9/main" objectType="CheckBox" checked="Checked" fmlaLink="$P$26" lockText="1" noThreeD="1"/>
</file>

<file path=xl/ctrlProps/ctrlProp294.xml><?xml version="1.0" encoding="utf-8"?>
<formControlPr xmlns="http://schemas.microsoft.com/office/spreadsheetml/2009/9/main" objectType="CheckBox" checked="Checked" fmlaLink="$P$27" lockText="1" noThreeD="1"/>
</file>

<file path=xl/ctrlProps/ctrlProp295.xml><?xml version="1.0" encoding="utf-8"?>
<formControlPr xmlns="http://schemas.microsoft.com/office/spreadsheetml/2009/9/main" objectType="CheckBox" checked="Checked" fmlaLink="$P$28" lockText="1" noThreeD="1"/>
</file>

<file path=xl/ctrlProps/ctrlProp296.xml><?xml version="1.0" encoding="utf-8"?>
<formControlPr xmlns="http://schemas.microsoft.com/office/spreadsheetml/2009/9/main" objectType="CheckBox" checked="Checked" fmlaLink="$P$29" lockText="1" noThreeD="1"/>
</file>

<file path=xl/ctrlProps/ctrlProp297.xml><?xml version="1.0" encoding="utf-8"?>
<formControlPr xmlns="http://schemas.microsoft.com/office/spreadsheetml/2009/9/main" objectType="CheckBox" checked="Checked" fmlaLink="$P$30" lockText="1" noThreeD="1"/>
</file>

<file path=xl/ctrlProps/ctrlProp298.xml><?xml version="1.0" encoding="utf-8"?>
<formControlPr xmlns="http://schemas.microsoft.com/office/spreadsheetml/2009/9/main" objectType="CheckBox" checked="Checked" fmlaLink="$P$31" lockText="1" noThreeD="1"/>
</file>

<file path=xl/ctrlProps/ctrlProp299.xml><?xml version="1.0" encoding="utf-8"?>
<formControlPr xmlns="http://schemas.microsoft.com/office/spreadsheetml/2009/9/main" objectType="CheckBox" checked="Checked" fmlaLink="$P$32" lockText="1" noThreeD="1"/>
</file>

<file path=xl/ctrlProps/ctrlProp300.xml><?xml version="1.0" encoding="utf-8"?>
<formControlPr xmlns="http://schemas.microsoft.com/office/spreadsheetml/2009/9/main" objectType="CheckBox" checked="Checked" fmlaLink="$P$33" lockText="1" noThreeD="1"/>
</file>

<file path=xl/ctrlProps/ctrlProp301.xml><?xml version="1.0" encoding="utf-8"?>
<formControlPr xmlns="http://schemas.microsoft.com/office/spreadsheetml/2009/9/main" objectType="CheckBox" checked="Checked" fmlaLink="$P$34" lockText="1" noThreeD="1"/>
</file>

<file path=xl/ctrlProps/ctrlProp302.xml><?xml version="1.0" encoding="utf-8"?>
<formControlPr xmlns="http://schemas.microsoft.com/office/spreadsheetml/2009/9/main" objectType="CheckBox" checked="Checked" fmlaLink="$P$35" lockText="1" noThreeD="1"/>
</file>

<file path=xl/ctrlProps/ctrlProp303.xml><?xml version="1.0" encoding="utf-8"?>
<formControlPr xmlns="http://schemas.microsoft.com/office/spreadsheetml/2009/9/main" objectType="CheckBox" checked="Checked" fmlaLink="$N$8" lockText="1" noThreeD="1"/>
</file>

<file path=xl/ctrlProps/ctrlProp304.xml><?xml version="1.0" encoding="utf-8"?>
<formControlPr xmlns="http://schemas.microsoft.com/office/spreadsheetml/2009/9/main" objectType="CheckBox" checked="Checked" fmlaLink="$N$9" lockText="1" noThreeD="1"/>
</file>

<file path=xl/ctrlProps/ctrlProp305.xml><?xml version="1.0" encoding="utf-8"?>
<formControlPr xmlns="http://schemas.microsoft.com/office/spreadsheetml/2009/9/main" objectType="CheckBox" checked="Checked" fmlaLink="$N$10" lockText="1" noThreeD="1"/>
</file>

<file path=xl/ctrlProps/ctrlProp306.xml><?xml version="1.0" encoding="utf-8"?>
<formControlPr xmlns="http://schemas.microsoft.com/office/spreadsheetml/2009/9/main" objectType="CheckBox" checked="Checked" fmlaLink="$N$11" lockText="1" noThreeD="1"/>
</file>

<file path=xl/ctrlProps/ctrlProp307.xml><?xml version="1.0" encoding="utf-8"?>
<formControlPr xmlns="http://schemas.microsoft.com/office/spreadsheetml/2009/9/main" objectType="CheckBox" checked="Checked" fmlaLink="$N$12" lockText="1" noThreeD="1"/>
</file>

<file path=xl/ctrlProps/ctrlProp308.xml><?xml version="1.0" encoding="utf-8"?>
<formControlPr xmlns="http://schemas.microsoft.com/office/spreadsheetml/2009/9/main" objectType="CheckBox" checked="Checked" fmlaLink="$N$13" lockText="1" noThreeD="1"/>
</file>

<file path=xl/ctrlProps/ctrlProp309.xml><?xml version="1.0" encoding="utf-8"?>
<formControlPr xmlns="http://schemas.microsoft.com/office/spreadsheetml/2009/9/main" objectType="CheckBox" checked="Checked" fmlaLink="$N$14" lockText="1" noThreeD="1"/>
</file>

<file path=xl/ctrlProps/ctrlProp310.xml><?xml version="1.0" encoding="utf-8"?>
<formControlPr xmlns="http://schemas.microsoft.com/office/spreadsheetml/2009/9/main" objectType="CheckBox" checked="Checked" fmlaLink="$N$15" lockText="1" noThreeD="1"/>
</file>

<file path=xl/ctrlProps/ctrlProp311.xml><?xml version="1.0" encoding="utf-8"?>
<formControlPr xmlns="http://schemas.microsoft.com/office/spreadsheetml/2009/9/main" objectType="CheckBox" checked="Checked" fmlaLink="$N$16" lockText="1" noThreeD="1"/>
</file>

<file path=xl/ctrlProps/ctrlProp312.xml><?xml version="1.0" encoding="utf-8"?>
<formControlPr xmlns="http://schemas.microsoft.com/office/spreadsheetml/2009/9/main" objectType="CheckBox" checked="Checked" fmlaLink="$N$17" lockText="1" noThreeD="1"/>
</file>

<file path=xl/ctrlProps/ctrlProp313.xml><?xml version="1.0" encoding="utf-8"?>
<formControlPr xmlns="http://schemas.microsoft.com/office/spreadsheetml/2009/9/main" objectType="CheckBox" checked="Checked" fmlaLink="$N$18" lockText="1" noThreeD="1"/>
</file>

<file path=xl/ctrlProps/ctrlProp314.xml><?xml version="1.0" encoding="utf-8"?>
<formControlPr xmlns="http://schemas.microsoft.com/office/spreadsheetml/2009/9/main" objectType="CheckBox" checked="Checked" fmlaLink="$N$19" lockText="1" noThreeD="1"/>
</file>

<file path=xl/ctrlProps/ctrlProp315.xml><?xml version="1.0" encoding="utf-8"?>
<formControlPr xmlns="http://schemas.microsoft.com/office/spreadsheetml/2009/9/main" objectType="CheckBox" checked="Checked" fmlaLink="$N$20" lockText="1" noThreeD="1"/>
</file>

<file path=xl/ctrlProps/ctrlProp316.xml><?xml version="1.0" encoding="utf-8"?>
<formControlPr xmlns="http://schemas.microsoft.com/office/spreadsheetml/2009/9/main" objectType="CheckBox" checked="Checked" fmlaLink="$N$21" lockText="1" noThreeD="1"/>
</file>

<file path=xl/ctrlProps/ctrlProp317.xml><?xml version="1.0" encoding="utf-8"?>
<formControlPr xmlns="http://schemas.microsoft.com/office/spreadsheetml/2009/9/main" objectType="CheckBox" checked="Checked" fmlaLink="$N$22" lockText="1" noThreeD="1"/>
</file>

<file path=xl/ctrlProps/ctrlProp318.xml><?xml version="1.0" encoding="utf-8"?>
<formControlPr xmlns="http://schemas.microsoft.com/office/spreadsheetml/2009/9/main" objectType="CheckBox" checked="Checked" fmlaLink="$N$23" lockText="1" noThreeD="1"/>
</file>

<file path=xl/ctrlProps/ctrlProp319.xml><?xml version="1.0" encoding="utf-8"?>
<formControlPr xmlns="http://schemas.microsoft.com/office/spreadsheetml/2009/9/main" objectType="CheckBox" checked="Checked" fmlaLink="$N$24" lockText="1" noThreeD="1"/>
</file>

<file path=xl/ctrlProps/ctrlProp320.xml><?xml version="1.0" encoding="utf-8"?>
<formControlPr xmlns="http://schemas.microsoft.com/office/spreadsheetml/2009/9/main" objectType="CheckBox" checked="Checked" fmlaLink="$N$25" lockText="1" noThreeD="1"/>
</file>

<file path=xl/ctrlProps/ctrlProp321.xml><?xml version="1.0" encoding="utf-8"?>
<formControlPr xmlns="http://schemas.microsoft.com/office/spreadsheetml/2009/9/main" objectType="CheckBox" checked="Checked" fmlaLink="$N$26" lockText="1" noThreeD="1"/>
</file>

<file path=xl/ctrlProps/ctrlProp322.xml><?xml version="1.0" encoding="utf-8"?>
<formControlPr xmlns="http://schemas.microsoft.com/office/spreadsheetml/2009/9/main" objectType="CheckBox" checked="Checked" fmlaLink="$N$27" lockText="1" noThreeD="1"/>
</file>

<file path=xl/ctrlProps/ctrlProp323.xml><?xml version="1.0" encoding="utf-8"?>
<formControlPr xmlns="http://schemas.microsoft.com/office/spreadsheetml/2009/9/main" objectType="CheckBox" checked="Checked" fmlaLink="$N$7" lockText="1" noThreeD="1"/>
</file>

<file path=xl/ctrlProps/ctrlProp324.xml><?xml version="1.0" encoding="utf-8"?>
<formControlPr xmlns="http://schemas.microsoft.com/office/spreadsheetml/2009/9/main" objectType="CheckBox" checked="Checked" fmlaLink="$N$6" lockText="1" noThreeD="1"/>
</file>

<file path=xl/ctrlProps/ctrlProp325.xml><?xml version="1.0" encoding="utf-8"?>
<formControlPr xmlns="http://schemas.microsoft.com/office/spreadsheetml/2009/9/main" objectType="CheckBox" checked="Checked" fmlaLink="$N$5" lockText="1" noThreeD="1"/>
</file>

<file path=xl/ctrlProps/ctrlProp326.xml><?xml version="1.0" encoding="utf-8"?>
<formControlPr xmlns="http://schemas.microsoft.com/office/spreadsheetml/2009/9/main" objectType="CheckBox" checked="Checked" fmlaLink="$N$28" lockText="1" noThreeD="1"/>
</file>

<file path=xl/ctrlProps/ctrlProp327.xml><?xml version="1.0" encoding="utf-8"?>
<formControlPr xmlns="http://schemas.microsoft.com/office/spreadsheetml/2009/9/main" objectType="CheckBox" checked="Checked" fmlaLink="$N$29" lockText="1" noThreeD="1"/>
</file>

<file path=xl/ctrlProps/ctrlProp328.xml><?xml version="1.0" encoding="utf-8"?>
<formControlPr xmlns="http://schemas.microsoft.com/office/spreadsheetml/2009/9/main" objectType="CheckBox" checked="Checked" fmlaLink="$N$30" lockText="1" noThreeD="1"/>
</file>

<file path=xl/ctrlProps/ctrlProp329.xml><?xml version="1.0" encoding="utf-8"?>
<formControlPr xmlns="http://schemas.microsoft.com/office/spreadsheetml/2009/9/main" objectType="CheckBox" checked="Checked" fmlaLink="$N$31" lockText="1" noThreeD="1"/>
</file>

<file path=xl/ctrlProps/ctrlProp330.xml><?xml version="1.0" encoding="utf-8"?>
<formControlPr xmlns="http://schemas.microsoft.com/office/spreadsheetml/2009/9/main" objectType="CheckBox" checked="Checked" fmlaLink="$N$32" lockText="1" noThreeD="1"/>
</file>

<file path=xl/ctrlProps/ctrlProp331.xml><?xml version="1.0" encoding="utf-8"?>
<formControlPr xmlns="http://schemas.microsoft.com/office/spreadsheetml/2009/9/main" objectType="CheckBox" checked="Checked" fmlaLink="$N$33" lockText="1" noThreeD="1"/>
</file>

<file path=xl/ctrlProps/ctrlProp332.xml><?xml version="1.0" encoding="utf-8"?>
<formControlPr xmlns="http://schemas.microsoft.com/office/spreadsheetml/2009/9/main" objectType="CheckBox" checked="Checked" fmlaLink="$N$34" lockText="1" noThreeD="1"/>
</file>

<file path=xl/ctrlProps/ctrlProp333.xml><?xml version="1.0" encoding="utf-8"?>
<formControlPr xmlns="http://schemas.microsoft.com/office/spreadsheetml/2009/9/main" objectType="CheckBox" checked="Checked" fmlaLink="$N$35" lockText="1" noThreeD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CheckBox" checked="Checked" fmlaLink="$Q$8" lockText="1" noThreeD="1"/>
</file>

<file path=xl/ctrlProps/ctrlProp336.xml><?xml version="1.0" encoding="utf-8"?>
<formControlPr xmlns="http://schemas.microsoft.com/office/spreadsheetml/2009/9/main" objectType="CheckBox" checked="Checked" fmlaLink="$Q$9" lockText="1" noThreeD="1"/>
</file>

<file path=xl/ctrlProps/ctrlProp337.xml><?xml version="1.0" encoding="utf-8"?>
<formControlPr xmlns="http://schemas.microsoft.com/office/spreadsheetml/2009/9/main" objectType="CheckBox" checked="Checked" fmlaLink="$Q$10" lockText="1" noThreeD="1"/>
</file>

<file path=xl/ctrlProps/ctrlProp338.xml><?xml version="1.0" encoding="utf-8"?>
<formControlPr xmlns="http://schemas.microsoft.com/office/spreadsheetml/2009/9/main" objectType="CheckBox" checked="Checked" fmlaLink="$Q$11" lockText="1" noThreeD="1"/>
</file>

<file path=xl/ctrlProps/ctrlProp339.xml><?xml version="1.0" encoding="utf-8"?>
<formControlPr xmlns="http://schemas.microsoft.com/office/spreadsheetml/2009/9/main" objectType="CheckBox" checked="Checked" fmlaLink="$Q$12" lockText="1" noThreeD="1"/>
</file>

<file path=xl/ctrlProps/ctrlProp340.xml><?xml version="1.0" encoding="utf-8"?>
<formControlPr xmlns="http://schemas.microsoft.com/office/spreadsheetml/2009/9/main" objectType="CheckBox" checked="Checked" fmlaLink="$Q$13" lockText="1" noThreeD="1"/>
</file>

<file path=xl/ctrlProps/ctrlProp341.xml><?xml version="1.0" encoding="utf-8"?>
<formControlPr xmlns="http://schemas.microsoft.com/office/spreadsheetml/2009/9/main" objectType="CheckBox" checked="Checked" fmlaLink="$Q$14" lockText="1" noThreeD="1"/>
</file>

<file path=xl/ctrlProps/ctrlProp342.xml><?xml version="1.0" encoding="utf-8"?>
<formControlPr xmlns="http://schemas.microsoft.com/office/spreadsheetml/2009/9/main" objectType="CheckBox" checked="Checked" fmlaLink="$Q$15" lockText="1" noThreeD="1"/>
</file>

<file path=xl/ctrlProps/ctrlProp343.xml><?xml version="1.0" encoding="utf-8"?>
<formControlPr xmlns="http://schemas.microsoft.com/office/spreadsheetml/2009/9/main" objectType="CheckBox" checked="Checked" fmlaLink="$Q$16" lockText="1" noThreeD="1"/>
</file>

<file path=xl/ctrlProps/ctrlProp344.xml><?xml version="1.0" encoding="utf-8"?>
<formControlPr xmlns="http://schemas.microsoft.com/office/spreadsheetml/2009/9/main" objectType="CheckBox" checked="Checked" fmlaLink="$Q$17" lockText="1" noThreeD="1"/>
</file>

<file path=xl/ctrlProps/ctrlProp345.xml><?xml version="1.0" encoding="utf-8"?>
<formControlPr xmlns="http://schemas.microsoft.com/office/spreadsheetml/2009/9/main" objectType="CheckBox" checked="Checked" fmlaLink="$Q$18" lockText="1" noThreeD="1"/>
</file>

<file path=xl/ctrlProps/ctrlProp346.xml><?xml version="1.0" encoding="utf-8"?>
<formControlPr xmlns="http://schemas.microsoft.com/office/spreadsheetml/2009/9/main" objectType="CheckBox" checked="Checked" fmlaLink="$Q$19" lockText="1" noThreeD="1"/>
</file>

<file path=xl/ctrlProps/ctrlProp347.xml><?xml version="1.0" encoding="utf-8"?>
<formControlPr xmlns="http://schemas.microsoft.com/office/spreadsheetml/2009/9/main" objectType="CheckBox" checked="Checked" fmlaLink="$Q$20" lockText="1" noThreeD="1"/>
</file>

<file path=xl/ctrlProps/ctrlProp348.xml><?xml version="1.0" encoding="utf-8"?>
<formControlPr xmlns="http://schemas.microsoft.com/office/spreadsheetml/2009/9/main" objectType="CheckBox" checked="Checked" fmlaLink="$Q$21" lockText="1" noThreeD="1"/>
</file>

<file path=xl/ctrlProps/ctrlProp349.xml><?xml version="1.0" encoding="utf-8"?>
<formControlPr xmlns="http://schemas.microsoft.com/office/spreadsheetml/2009/9/main" objectType="CheckBox" checked="Checked" fmlaLink="$Q$22" lockText="1" noThreeD="1"/>
</file>

<file path=xl/ctrlProps/ctrlProp350.xml><?xml version="1.0" encoding="utf-8"?>
<formControlPr xmlns="http://schemas.microsoft.com/office/spreadsheetml/2009/9/main" objectType="CheckBox" checked="Checked" fmlaLink="$Q$23" lockText="1" noThreeD="1"/>
</file>

<file path=xl/ctrlProps/ctrlProp351.xml><?xml version="1.0" encoding="utf-8"?>
<formControlPr xmlns="http://schemas.microsoft.com/office/spreadsheetml/2009/9/main" objectType="CheckBox" checked="Checked" fmlaLink="$Q$24" lockText="1" noThreeD="1"/>
</file>

<file path=xl/ctrlProps/ctrlProp352.xml><?xml version="1.0" encoding="utf-8"?>
<formControlPr xmlns="http://schemas.microsoft.com/office/spreadsheetml/2009/9/main" objectType="CheckBox" checked="Checked" fmlaLink="$Q$25" lockText="1" noThreeD="1"/>
</file>

<file path=xl/ctrlProps/ctrlProp353.xml><?xml version="1.0" encoding="utf-8"?>
<formControlPr xmlns="http://schemas.microsoft.com/office/spreadsheetml/2009/9/main" objectType="CheckBox" checked="Checked" fmlaLink="$Q$26" lockText="1" noThreeD="1"/>
</file>

<file path=xl/ctrlProps/ctrlProp354.xml><?xml version="1.0" encoding="utf-8"?>
<formControlPr xmlns="http://schemas.microsoft.com/office/spreadsheetml/2009/9/main" objectType="CheckBox" checked="Checked" fmlaLink="$Q$27" lockText="1" noThreeD="1"/>
</file>

<file path=xl/ctrlProps/ctrlProp355.xml><?xml version="1.0" encoding="utf-8"?>
<formControlPr xmlns="http://schemas.microsoft.com/office/spreadsheetml/2009/9/main" objectType="CheckBox" checked="Checked" fmlaLink="$Q$7" lockText="1" noThreeD="1"/>
</file>

<file path=xl/ctrlProps/ctrlProp356.xml><?xml version="1.0" encoding="utf-8"?>
<formControlPr xmlns="http://schemas.microsoft.com/office/spreadsheetml/2009/9/main" objectType="CheckBox" checked="Checked" fmlaLink="$Q$6" lockText="1" noThreeD="1"/>
</file>

<file path=xl/ctrlProps/ctrlProp357.xml><?xml version="1.0" encoding="utf-8"?>
<formControlPr xmlns="http://schemas.microsoft.com/office/spreadsheetml/2009/9/main" objectType="CheckBox" checked="Checked" fmlaLink="$O$7" lockText="1" noThreeD="1"/>
</file>

<file path=xl/ctrlProps/ctrlProp358.xml><?xml version="1.0" encoding="utf-8"?>
<formControlPr xmlns="http://schemas.microsoft.com/office/spreadsheetml/2009/9/main" objectType="CheckBox" checked="Checked" fmlaLink="$O$8" lockText="1" noThreeD="1"/>
</file>

<file path=xl/ctrlProps/ctrlProp359.xml><?xml version="1.0" encoding="utf-8"?>
<formControlPr xmlns="http://schemas.microsoft.com/office/spreadsheetml/2009/9/main" objectType="CheckBox" checked="Checked" fmlaLink="$O$9" lockText="1" noThreeD="1"/>
</file>

<file path=xl/ctrlProps/ctrlProp360.xml><?xml version="1.0" encoding="utf-8"?>
<formControlPr xmlns="http://schemas.microsoft.com/office/spreadsheetml/2009/9/main" objectType="CheckBox" checked="Checked" fmlaLink="$O$10" lockText="1" noThreeD="1"/>
</file>

<file path=xl/ctrlProps/ctrlProp361.xml><?xml version="1.0" encoding="utf-8"?>
<formControlPr xmlns="http://schemas.microsoft.com/office/spreadsheetml/2009/9/main" objectType="CheckBox" checked="Checked" fmlaLink="$O$12" lockText="1" noThreeD="1"/>
</file>

<file path=xl/ctrlProps/ctrlProp362.xml><?xml version="1.0" encoding="utf-8"?>
<formControlPr xmlns="http://schemas.microsoft.com/office/spreadsheetml/2009/9/main" objectType="CheckBox" checked="Checked" fmlaLink="$O$13" lockText="1" noThreeD="1"/>
</file>

<file path=xl/ctrlProps/ctrlProp363.xml><?xml version="1.0" encoding="utf-8"?>
<formControlPr xmlns="http://schemas.microsoft.com/office/spreadsheetml/2009/9/main" objectType="CheckBox" checked="Checked" fmlaLink="$O$14" lockText="1" noThreeD="1"/>
</file>

<file path=xl/ctrlProps/ctrlProp364.xml><?xml version="1.0" encoding="utf-8"?>
<formControlPr xmlns="http://schemas.microsoft.com/office/spreadsheetml/2009/9/main" objectType="CheckBox" checked="Checked" fmlaLink="$O$15" lockText="1" noThreeD="1"/>
</file>

<file path=xl/ctrlProps/ctrlProp365.xml><?xml version="1.0" encoding="utf-8"?>
<formControlPr xmlns="http://schemas.microsoft.com/office/spreadsheetml/2009/9/main" objectType="CheckBox" checked="Checked" fmlaLink="$O$16" lockText="1" noThreeD="1"/>
</file>

<file path=xl/ctrlProps/ctrlProp366.xml><?xml version="1.0" encoding="utf-8"?>
<formControlPr xmlns="http://schemas.microsoft.com/office/spreadsheetml/2009/9/main" objectType="CheckBox" checked="Checked" fmlaLink="$O$17" lockText="1" noThreeD="1"/>
</file>

<file path=xl/ctrlProps/ctrlProp367.xml><?xml version="1.0" encoding="utf-8"?>
<formControlPr xmlns="http://schemas.microsoft.com/office/spreadsheetml/2009/9/main" objectType="CheckBox" checked="Checked" fmlaLink="$O$18" lockText="1" noThreeD="1"/>
</file>

<file path=xl/ctrlProps/ctrlProp368.xml><?xml version="1.0" encoding="utf-8"?>
<formControlPr xmlns="http://schemas.microsoft.com/office/spreadsheetml/2009/9/main" objectType="CheckBox" checked="Checked" fmlaLink="$O$19" lockText="1" noThreeD="1"/>
</file>

<file path=xl/ctrlProps/ctrlProp369.xml><?xml version="1.0" encoding="utf-8"?>
<formControlPr xmlns="http://schemas.microsoft.com/office/spreadsheetml/2009/9/main" objectType="CheckBox" checked="Checked" fmlaLink="$O$20" lockText="1" noThreeD="1"/>
</file>

<file path=xl/ctrlProps/ctrlProp370.xml><?xml version="1.0" encoding="utf-8"?>
<formControlPr xmlns="http://schemas.microsoft.com/office/spreadsheetml/2009/9/main" objectType="CheckBox" checked="Checked" fmlaLink="$O$21" lockText="1" noThreeD="1"/>
</file>

<file path=xl/ctrlProps/ctrlProp371.xml><?xml version="1.0" encoding="utf-8"?>
<formControlPr xmlns="http://schemas.microsoft.com/office/spreadsheetml/2009/9/main" objectType="CheckBox" checked="Checked" fmlaLink="$O$22" lockText="1" noThreeD="1"/>
</file>

<file path=xl/ctrlProps/ctrlProp372.xml><?xml version="1.0" encoding="utf-8"?>
<formControlPr xmlns="http://schemas.microsoft.com/office/spreadsheetml/2009/9/main" objectType="CheckBox" checked="Checked" fmlaLink="$O$23" lockText="1" noThreeD="1"/>
</file>

<file path=xl/ctrlProps/ctrlProp373.xml><?xml version="1.0" encoding="utf-8"?>
<formControlPr xmlns="http://schemas.microsoft.com/office/spreadsheetml/2009/9/main" objectType="CheckBox" checked="Checked" fmlaLink="$O$24" lockText="1" noThreeD="1"/>
</file>

<file path=xl/ctrlProps/ctrlProp374.xml><?xml version="1.0" encoding="utf-8"?>
<formControlPr xmlns="http://schemas.microsoft.com/office/spreadsheetml/2009/9/main" objectType="CheckBox" checked="Checked" fmlaLink="$O$25" lockText="1" noThreeD="1"/>
</file>

<file path=xl/ctrlProps/ctrlProp375.xml><?xml version="1.0" encoding="utf-8"?>
<formControlPr xmlns="http://schemas.microsoft.com/office/spreadsheetml/2009/9/main" objectType="CheckBox" checked="Checked" fmlaLink="$O$26" lockText="1" noThreeD="1"/>
</file>

<file path=xl/ctrlProps/ctrlProp376.xml><?xml version="1.0" encoding="utf-8"?>
<formControlPr xmlns="http://schemas.microsoft.com/office/spreadsheetml/2009/9/main" objectType="CheckBox" checked="Checked" fmlaLink="$O$27" lockText="1" noThreeD="1"/>
</file>

<file path=xl/ctrlProps/ctrlProp377.xml><?xml version="1.0" encoding="utf-8"?>
<formControlPr xmlns="http://schemas.microsoft.com/office/spreadsheetml/2009/9/main" objectType="CheckBox" checked="Checked" fmlaLink="$O$6" lockText="1" noThreeD="1"/>
</file>

<file path=xl/ctrlProps/ctrlProp378.xml><?xml version="1.0" encoding="utf-8"?>
<formControlPr xmlns="http://schemas.microsoft.com/office/spreadsheetml/2009/9/main" objectType="CheckBox" checked="Checked" fmlaLink="$O$5" lockText="1" noThreeD="1"/>
</file>

<file path=xl/ctrlProps/ctrlProp379.xml><?xml version="1.0" encoding="utf-8"?>
<formControlPr xmlns="http://schemas.microsoft.com/office/spreadsheetml/2009/9/main" objectType="CheckBox" checked="Checked" fmlaLink="$P$5" lockText="1" noThreeD="1"/>
</file>

<file path=xl/ctrlProps/ctrlProp380.xml><?xml version="1.0" encoding="utf-8"?>
<formControlPr xmlns="http://schemas.microsoft.com/office/spreadsheetml/2009/9/main" objectType="CheckBox" checked="Checked" fmlaLink="$Q$5" lockText="1" noThreeD="1"/>
</file>

<file path=xl/ctrlProps/ctrlProp381.xml><?xml version="1.0" encoding="utf-8"?>
<formControlPr xmlns="http://schemas.microsoft.com/office/spreadsheetml/2009/9/main" objectType="CheckBox" checked="Checked" fmlaLink="$O$11" lockText="1" noThreeD="1"/>
</file>

<file path=xl/ctrlProps/ctrlProp382.xml><?xml version="1.0" encoding="utf-8"?>
<formControlPr xmlns="http://schemas.microsoft.com/office/spreadsheetml/2009/9/main" objectType="CheckBox" checked="Checked" fmlaLink="$Q$28" lockText="1" noThreeD="1"/>
</file>

<file path=xl/ctrlProps/ctrlProp383.xml><?xml version="1.0" encoding="utf-8"?>
<formControlPr xmlns="http://schemas.microsoft.com/office/spreadsheetml/2009/9/main" objectType="CheckBox" checked="Checked" fmlaLink="$Q$29" lockText="1" noThreeD="1"/>
</file>

<file path=xl/ctrlProps/ctrlProp384.xml><?xml version="1.0" encoding="utf-8"?>
<formControlPr xmlns="http://schemas.microsoft.com/office/spreadsheetml/2009/9/main" objectType="CheckBox" checked="Checked" fmlaLink="$Q$30" lockText="1" noThreeD="1"/>
</file>

<file path=xl/ctrlProps/ctrlProp385.xml><?xml version="1.0" encoding="utf-8"?>
<formControlPr xmlns="http://schemas.microsoft.com/office/spreadsheetml/2009/9/main" objectType="CheckBox" checked="Checked" fmlaLink="$Q$31" lockText="1" noThreeD="1"/>
</file>

<file path=xl/ctrlProps/ctrlProp386.xml><?xml version="1.0" encoding="utf-8"?>
<formControlPr xmlns="http://schemas.microsoft.com/office/spreadsheetml/2009/9/main" objectType="CheckBox" checked="Checked" fmlaLink="$Q$32" lockText="1" noThreeD="1"/>
</file>

<file path=xl/ctrlProps/ctrlProp387.xml><?xml version="1.0" encoding="utf-8"?>
<formControlPr xmlns="http://schemas.microsoft.com/office/spreadsheetml/2009/9/main" objectType="CheckBox" checked="Checked" fmlaLink="$Q$33" lockText="1" noThreeD="1"/>
</file>

<file path=xl/ctrlProps/ctrlProp388.xml><?xml version="1.0" encoding="utf-8"?>
<formControlPr xmlns="http://schemas.microsoft.com/office/spreadsheetml/2009/9/main" objectType="CheckBox" checked="Checked" fmlaLink="$Q$34" lockText="1" noThreeD="1"/>
</file>

<file path=xl/ctrlProps/ctrlProp389.xml><?xml version="1.0" encoding="utf-8"?>
<formControlPr xmlns="http://schemas.microsoft.com/office/spreadsheetml/2009/9/main" objectType="CheckBox" checked="Checked" fmlaLink="$O$28" lockText="1" noThreeD="1"/>
</file>

<file path=xl/ctrlProps/ctrlProp390.xml><?xml version="1.0" encoding="utf-8"?>
<formControlPr xmlns="http://schemas.microsoft.com/office/spreadsheetml/2009/9/main" objectType="CheckBox" checked="Checked" fmlaLink="$O$29" lockText="1" noThreeD="1"/>
</file>

<file path=xl/ctrlProps/ctrlProp391.xml><?xml version="1.0" encoding="utf-8"?>
<formControlPr xmlns="http://schemas.microsoft.com/office/spreadsheetml/2009/9/main" objectType="CheckBox" checked="Checked" fmlaLink="$O$30" lockText="1" noThreeD="1"/>
</file>

<file path=xl/ctrlProps/ctrlProp392.xml><?xml version="1.0" encoding="utf-8"?>
<formControlPr xmlns="http://schemas.microsoft.com/office/spreadsheetml/2009/9/main" objectType="CheckBox" checked="Checked" fmlaLink="$O$31" lockText="1" noThreeD="1"/>
</file>

<file path=xl/ctrlProps/ctrlProp393.xml><?xml version="1.0" encoding="utf-8"?>
<formControlPr xmlns="http://schemas.microsoft.com/office/spreadsheetml/2009/9/main" objectType="CheckBox" checked="Checked" fmlaLink="$O$32" lockText="1" noThreeD="1"/>
</file>

<file path=xl/ctrlProps/ctrlProp394.xml><?xml version="1.0" encoding="utf-8"?>
<formControlPr xmlns="http://schemas.microsoft.com/office/spreadsheetml/2009/9/main" objectType="CheckBox" checked="Checked" fmlaLink="$O$33" lockText="1" noThreeD="1"/>
</file>

<file path=xl/ctrlProps/ctrlProp395.xml><?xml version="1.0" encoding="utf-8"?>
<formControlPr xmlns="http://schemas.microsoft.com/office/spreadsheetml/2009/9/main" objectType="CheckBox" checked="Checked" fmlaLink="$O$34" lockText="1" noThreeD="1"/>
</file>

<file path=xl/ctrlProps/ctrlProp396.xml><?xml version="1.0" encoding="utf-8"?>
<formControlPr xmlns="http://schemas.microsoft.com/office/spreadsheetml/2009/9/main" objectType="CheckBox" checked="Checked" fmlaLink="$Q$35" lockText="1" noThreeD="1"/>
</file>

<file path=xl/ctrlProps/ctrlProp397.xml><?xml version="1.0" encoding="utf-8"?>
<formControlPr xmlns="http://schemas.microsoft.com/office/spreadsheetml/2009/9/main" objectType="CheckBox" checked="Checked" fmlaLink="$O$35" lockText="1" noThreeD="1"/>
</file>

<file path=xl/ctrlProps/ctrlProp398.xml><?xml version="1.0" encoding="utf-8"?>
<formControlPr xmlns="http://schemas.microsoft.com/office/spreadsheetml/2009/9/main" objectType="CheckBox" checked="Checked" fmlaLink="$P$6" lockText="1" noThreeD="1"/>
</file>

<file path=xl/ctrlProps/ctrlProp399.xml><?xml version="1.0" encoding="utf-8"?>
<formControlPr xmlns="http://schemas.microsoft.com/office/spreadsheetml/2009/9/main" objectType="CheckBox" checked="Checked" fmlaLink="$P$7" lockText="1" noThreeD="1"/>
</file>

<file path=xl/ctrlProps/ctrlProp400.xml><?xml version="1.0" encoding="utf-8"?>
<formControlPr xmlns="http://schemas.microsoft.com/office/spreadsheetml/2009/9/main" objectType="CheckBox" checked="Checked" fmlaLink="$P$8" lockText="1" noThreeD="1"/>
</file>

<file path=xl/ctrlProps/ctrlProp401.xml><?xml version="1.0" encoding="utf-8"?>
<formControlPr xmlns="http://schemas.microsoft.com/office/spreadsheetml/2009/9/main" objectType="CheckBox" checked="Checked" fmlaLink="$P$9" lockText="1" noThreeD="1"/>
</file>

<file path=xl/ctrlProps/ctrlProp402.xml><?xml version="1.0" encoding="utf-8"?>
<formControlPr xmlns="http://schemas.microsoft.com/office/spreadsheetml/2009/9/main" objectType="CheckBox" checked="Checked" fmlaLink="$P$10" lockText="1" noThreeD="1"/>
</file>

<file path=xl/ctrlProps/ctrlProp403.xml><?xml version="1.0" encoding="utf-8"?>
<formControlPr xmlns="http://schemas.microsoft.com/office/spreadsheetml/2009/9/main" objectType="CheckBox" checked="Checked" fmlaLink="$P$11" lockText="1" noThreeD="1"/>
</file>

<file path=xl/ctrlProps/ctrlProp404.xml><?xml version="1.0" encoding="utf-8"?>
<formControlPr xmlns="http://schemas.microsoft.com/office/spreadsheetml/2009/9/main" objectType="CheckBox" checked="Checked" fmlaLink="$P$12" lockText="1" noThreeD="1"/>
</file>

<file path=xl/ctrlProps/ctrlProp405.xml><?xml version="1.0" encoding="utf-8"?>
<formControlPr xmlns="http://schemas.microsoft.com/office/spreadsheetml/2009/9/main" objectType="CheckBox" checked="Checked" fmlaLink="$P$13" lockText="1" noThreeD="1"/>
</file>

<file path=xl/ctrlProps/ctrlProp406.xml><?xml version="1.0" encoding="utf-8"?>
<formControlPr xmlns="http://schemas.microsoft.com/office/spreadsheetml/2009/9/main" objectType="CheckBox" checked="Checked" fmlaLink="$P$14" lockText="1" noThreeD="1"/>
</file>

<file path=xl/ctrlProps/ctrlProp407.xml><?xml version="1.0" encoding="utf-8"?>
<formControlPr xmlns="http://schemas.microsoft.com/office/spreadsheetml/2009/9/main" objectType="CheckBox" checked="Checked" fmlaLink="$P$15" lockText="1" noThreeD="1"/>
</file>

<file path=xl/ctrlProps/ctrlProp408.xml><?xml version="1.0" encoding="utf-8"?>
<formControlPr xmlns="http://schemas.microsoft.com/office/spreadsheetml/2009/9/main" objectType="CheckBox" checked="Checked" fmlaLink="$P$16" lockText="1" noThreeD="1"/>
</file>

<file path=xl/ctrlProps/ctrlProp409.xml><?xml version="1.0" encoding="utf-8"?>
<formControlPr xmlns="http://schemas.microsoft.com/office/spreadsheetml/2009/9/main" objectType="CheckBox" checked="Checked" fmlaLink="$P$17" lockText="1" noThreeD="1"/>
</file>

<file path=xl/ctrlProps/ctrlProp410.xml><?xml version="1.0" encoding="utf-8"?>
<formControlPr xmlns="http://schemas.microsoft.com/office/spreadsheetml/2009/9/main" objectType="CheckBox" checked="Checked" fmlaLink="$P$18" lockText="1" noThreeD="1"/>
</file>

<file path=xl/ctrlProps/ctrlProp411.xml><?xml version="1.0" encoding="utf-8"?>
<formControlPr xmlns="http://schemas.microsoft.com/office/spreadsheetml/2009/9/main" objectType="CheckBox" checked="Checked" fmlaLink="$P$19" lockText="1" noThreeD="1"/>
</file>

<file path=xl/ctrlProps/ctrlProp412.xml><?xml version="1.0" encoding="utf-8"?>
<formControlPr xmlns="http://schemas.microsoft.com/office/spreadsheetml/2009/9/main" objectType="CheckBox" checked="Checked" fmlaLink="$P$20" lockText="1" noThreeD="1"/>
</file>

<file path=xl/ctrlProps/ctrlProp413.xml><?xml version="1.0" encoding="utf-8"?>
<formControlPr xmlns="http://schemas.microsoft.com/office/spreadsheetml/2009/9/main" objectType="CheckBox" checked="Checked" fmlaLink="$P$21" lockText="1" noThreeD="1"/>
</file>

<file path=xl/ctrlProps/ctrlProp414.xml><?xml version="1.0" encoding="utf-8"?>
<formControlPr xmlns="http://schemas.microsoft.com/office/spreadsheetml/2009/9/main" objectType="CheckBox" checked="Checked" fmlaLink="$P$22" lockText="1" noThreeD="1"/>
</file>

<file path=xl/ctrlProps/ctrlProp415.xml><?xml version="1.0" encoding="utf-8"?>
<formControlPr xmlns="http://schemas.microsoft.com/office/spreadsheetml/2009/9/main" objectType="CheckBox" checked="Checked" fmlaLink="$P$23" lockText="1" noThreeD="1"/>
</file>

<file path=xl/ctrlProps/ctrlProp416.xml><?xml version="1.0" encoding="utf-8"?>
<formControlPr xmlns="http://schemas.microsoft.com/office/spreadsheetml/2009/9/main" objectType="CheckBox" checked="Checked" fmlaLink="$P$24" lockText="1" noThreeD="1"/>
</file>

<file path=xl/ctrlProps/ctrlProp417.xml><?xml version="1.0" encoding="utf-8"?>
<formControlPr xmlns="http://schemas.microsoft.com/office/spreadsheetml/2009/9/main" objectType="CheckBox" checked="Checked" fmlaLink="$P$25" lockText="1" noThreeD="1"/>
</file>

<file path=xl/ctrlProps/ctrlProp418.xml><?xml version="1.0" encoding="utf-8"?>
<formControlPr xmlns="http://schemas.microsoft.com/office/spreadsheetml/2009/9/main" objectType="CheckBox" checked="Checked" fmlaLink="$P$26" lockText="1" noThreeD="1"/>
</file>

<file path=xl/ctrlProps/ctrlProp419.xml><?xml version="1.0" encoding="utf-8"?>
<formControlPr xmlns="http://schemas.microsoft.com/office/spreadsheetml/2009/9/main" objectType="CheckBox" checked="Checked" fmlaLink="$P$27" lockText="1" noThreeD="1"/>
</file>

<file path=xl/ctrlProps/ctrlProp420.xml><?xml version="1.0" encoding="utf-8"?>
<formControlPr xmlns="http://schemas.microsoft.com/office/spreadsheetml/2009/9/main" objectType="CheckBox" checked="Checked" fmlaLink="$P$28" lockText="1" noThreeD="1"/>
</file>

<file path=xl/ctrlProps/ctrlProp421.xml><?xml version="1.0" encoding="utf-8"?>
<formControlPr xmlns="http://schemas.microsoft.com/office/spreadsheetml/2009/9/main" objectType="CheckBox" checked="Checked" fmlaLink="$P$29" lockText="1" noThreeD="1"/>
</file>

<file path=xl/ctrlProps/ctrlProp422.xml><?xml version="1.0" encoding="utf-8"?>
<formControlPr xmlns="http://schemas.microsoft.com/office/spreadsheetml/2009/9/main" objectType="CheckBox" checked="Checked" fmlaLink="$P$30" lockText="1" noThreeD="1"/>
</file>

<file path=xl/ctrlProps/ctrlProp423.xml><?xml version="1.0" encoding="utf-8"?>
<formControlPr xmlns="http://schemas.microsoft.com/office/spreadsheetml/2009/9/main" objectType="CheckBox" checked="Checked" fmlaLink="$P$31" lockText="1" noThreeD="1"/>
</file>

<file path=xl/ctrlProps/ctrlProp424.xml><?xml version="1.0" encoding="utf-8"?>
<formControlPr xmlns="http://schemas.microsoft.com/office/spreadsheetml/2009/9/main" objectType="CheckBox" checked="Checked" fmlaLink="$P$32" lockText="1" noThreeD="1"/>
</file>

<file path=xl/ctrlProps/ctrlProp425.xml><?xml version="1.0" encoding="utf-8"?>
<formControlPr xmlns="http://schemas.microsoft.com/office/spreadsheetml/2009/9/main" objectType="CheckBox" checked="Checked" fmlaLink="$P$33" lockText="1" noThreeD="1"/>
</file>

<file path=xl/ctrlProps/ctrlProp426.xml><?xml version="1.0" encoding="utf-8"?>
<formControlPr xmlns="http://schemas.microsoft.com/office/spreadsheetml/2009/9/main" objectType="CheckBox" checked="Checked" fmlaLink="$P$34" lockText="1" noThreeD="1"/>
</file>

<file path=xl/ctrlProps/ctrlProp427.xml><?xml version="1.0" encoding="utf-8"?>
<formControlPr xmlns="http://schemas.microsoft.com/office/spreadsheetml/2009/9/main" objectType="CheckBox" checked="Checked" fmlaLink="$P$35" lockText="1" noThreeD="1"/>
</file>

<file path=xl/ctrlProps/ctrlProp428.xml><?xml version="1.0" encoding="utf-8"?>
<formControlPr xmlns="http://schemas.microsoft.com/office/spreadsheetml/2009/9/main" objectType="CheckBox" checked="Checked" fmlaLink="$N$8" lockText="1" noThreeD="1"/>
</file>

<file path=xl/ctrlProps/ctrlProp429.xml><?xml version="1.0" encoding="utf-8"?>
<formControlPr xmlns="http://schemas.microsoft.com/office/spreadsheetml/2009/9/main" objectType="CheckBox" checked="Checked" fmlaLink="$N$9" lockText="1" noThreeD="1"/>
</file>

<file path=xl/ctrlProps/ctrlProp430.xml><?xml version="1.0" encoding="utf-8"?>
<formControlPr xmlns="http://schemas.microsoft.com/office/spreadsheetml/2009/9/main" objectType="CheckBox" checked="Checked" fmlaLink="$N$10" lockText="1" noThreeD="1"/>
</file>

<file path=xl/ctrlProps/ctrlProp431.xml><?xml version="1.0" encoding="utf-8"?>
<formControlPr xmlns="http://schemas.microsoft.com/office/spreadsheetml/2009/9/main" objectType="CheckBox" checked="Checked" fmlaLink="$N$11" lockText="1" noThreeD="1"/>
</file>

<file path=xl/ctrlProps/ctrlProp432.xml><?xml version="1.0" encoding="utf-8"?>
<formControlPr xmlns="http://schemas.microsoft.com/office/spreadsheetml/2009/9/main" objectType="CheckBox" checked="Checked" fmlaLink="$N$12" lockText="1" noThreeD="1"/>
</file>

<file path=xl/ctrlProps/ctrlProp433.xml><?xml version="1.0" encoding="utf-8"?>
<formControlPr xmlns="http://schemas.microsoft.com/office/spreadsheetml/2009/9/main" objectType="CheckBox" checked="Checked" fmlaLink="$N$13" lockText="1" noThreeD="1"/>
</file>

<file path=xl/ctrlProps/ctrlProp434.xml><?xml version="1.0" encoding="utf-8"?>
<formControlPr xmlns="http://schemas.microsoft.com/office/spreadsheetml/2009/9/main" objectType="CheckBox" checked="Checked" fmlaLink="$N$14" lockText="1" noThreeD="1"/>
</file>

<file path=xl/ctrlProps/ctrlProp435.xml><?xml version="1.0" encoding="utf-8"?>
<formControlPr xmlns="http://schemas.microsoft.com/office/spreadsheetml/2009/9/main" objectType="CheckBox" checked="Checked" fmlaLink="$N$15" lockText="1" noThreeD="1"/>
</file>

<file path=xl/ctrlProps/ctrlProp436.xml><?xml version="1.0" encoding="utf-8"?>
<formControlPr xmlns="http://schemas.microsoft.com/office/spreadsheetml/2009/9/main" objectType="CheckBox" checked="Checked" fmlaLink="$N$16" lockText="1" noThreeD="1"/>
</file>

<file path=xl/ctrlProps/ctrlProp437.xml><?xml version="1.0" encoding="utf-8"?>
<formControlPr xmlns="http://schemas.microsoft.com/office/spreadsheetml/2009/9/main" objectType="CheckBox" checked="Checked" fmlaLink="$N$17" lockText="1" noThreeD="1"/>
</file>

<file path=xl/ctrlProps/ctrlProp438.xml><?xml version="1.0" encoding="utf-8"?>
<formControlPr xmlns="http://schemas.microsoft.com/office/spreadsheetml/2009/9/main" objectType="CheckBox" checked="Checked" fmlaLink="$N$18" lockText="1" noThreeD="1"/>
</file>

<file path=xl/ctrlProps/ctrlProp439.xml><?xml version="1.0" encoding="utf-8"?>
<formControlPr xmlns="http://schemas.microsoft.com/office/spreadsheetml/2009/9/main" objectType="CheckBox" checked="Checked" fmlaLink="$N$19" lockText="1" noThreeD="1"/>
</file>

<file path=xl/ctrlProps/ctrlProp440.xml><?xml version="1.0" encoding="utf-8"?>
<formControlPr xmlns="http://schemas.microsoft.com/office/spreadsheetml/2009/9/main" objectType="CheckBox" checked="Checked" fmlaLink="$N$20" lockText="1" noThreeD="1"/>
</file>

<file path=xl/ctrlProps/ctrlProp441.xml><?xml version="1.0" encoding="utf-8"?>
<formControlPr xmlns="http://schemas.microsoft.com/office/spreadsheetml/2009/9/main" objectType="CheckBox" checked="Checked" fmlaLink="$N$21" lockText="1" noThreeD="1"/>
</file>

<file path=xl/ctrlProps/ctrlProp442.xml><?xml version="1.0" encoding="utf-8"?>
<formControlPr xmlns="http://schemas.microsoft.com/office/spreadsheetml/2009/9/main" objectType="CheckBox" checked="Checked" fmlaLink="$N$22" lockText="1" noThreeD="1"/>
</file>

<file path=xl/ctrlProps/ctrlProp443.xml><?xml version="1.0" encoding="utf-8"?>
<formControlPr xmlns="http://schemas.microsoft.com/office/spreadsheetml/2009/9/main" objectType="CheckBox" checked="Checked" fmlaLink="$N$23" lockText="1" noThreeD="1"/>
</file>

<file path=xl/ctrlProps/ctrlProp444.xml><?xml version="1.0" encoding="utf-8"?>
<formControlPr xmlns="http://schemas.microsoft.com/office/spreadsheetml/2009/9/main" objectType="CheckBox" checked="Checked" fmlaLink="$N$24" lockText="1" noThreeD="1"/>
</file>

<file path=xl/ctrlProps/ctrlProp445.xml><?xml version="1.0" encoding="utf-8"?>
<formControlPr xmlns="http://schemas.microsoft.com/office/spreadsheetml/2009/9/main" objectType="CheckBox" checked="Checked" fmlaLink="$N$25" lockText="1" noThreeD="1"/>
</file>

<file path=xl/ctrlProps/ctrlProp446.xml><?xml version="1.0" encoding="utf-8"?>
<formControlPr xmlns="http://schemas.microsoft.com/office/spreadsheetml/2009/9/main" objectType="CheckBox" checked="Checked" fmlaLink="$N$26" lockText="1" noThreeD="1"/>
</file>

<file path=xl/ctrlProps/ctrlProp447.xml><?xml version="1.0" encoding="utf-8"?>
<formControlPr xmlns="http://schemas.microsoft.com/office/spreadsheetml/2009/9/main" objectType="CheckBox" checked="Checked" fmlaLink="$N$27" lockText="1" noThreeD="1"/>
</file>

<file path=xl/ctrlProps/ctrlProp448.xml><?xml version="1.0" encoding="utf-8"?>
<formControlPr xmlns="http://schemas.microsoft.com/office/spreadsheetml/2009/9/main" objectType="CheckBox" checked="Checked" fmlaLink="$N$7" lockText="1" noThreeD="1"/>
</file>

<file path=xl/ctrlProps/ctrlProp449.xml><?xml version="1.0" encoding="utf-8"?>
<formControlPr xmlns="http://schemas.microsoft.com/office/spreadsheetml/2009/9/main" objectType="CheckBox" checked="Checked" fmlaLink="$N$6" lockText="1" noThreeD="1"/>
</file>

<file path=xl/ctrlProps/ctrlProp450.xml><?xml version="1.0" encoding="utf-8"?>
<formControlPr xmlns="http://schemas.microsoft.com/office/spreadsheetml/2009/9/main" objectType="CheckBox" checked="Checked" fmlaLink="$N$5" lockText="1" noThreeD="1"/>
</file>

<file path=xl/ctrlProps/ctrlProp451.xml><?xml version="1.0" encoding="utf-8"?>
<formControlPr xmlns="http://schemas.microsoft.com/office/spreadsheetml/2009/9/main" objectType="CheckBox" checked="Checked" fmlaLink="$N$28" lockText="1" noThreeD="1"/>
</file>

<file path=xl/ctrlProps/ctrlProp452.xml><?xml version="1.0" encoding="utf-8"?>
<formControlPr xmlns="http://schemas.microsoft.com/office/spreadsheetml/2009/9/main" objectType="CheckBox" checked="Checked" fmlaLink="$N$29" lockText="1" noThreeD="1"/>
</file>

<file path=xl/ctrlProps/ctrlProp453.xml><?xml version="1.0" encoding="utf-8"?>
<formControlPr xmlns="http://schemas.microsoft.com/office/spreadsheetml/2009/9/main" objectType="CheckBox" checked="Checked" fmlaLink="$N$30" lockText="1" noThreeD="1"/>
</file>

<file path=xl/ctrlProps/ctrlProp454.xml><?xml version="1.0" encoding="utf-8"?>
<formControlPr xmlns="http://schemas.microsoft.com/office/spreadsheetml/2009/9/main" objectType="CheckBox" checked="Checked" fmlaLink="$N$31" lockText="1" noThreeD="1"/>
</file>

<file path=xl/ctrlProps/ctrlProp455.xml><?xml version="1.0" encoding="utf-8"?>
<formControlPr xmlns="http://schemas.microsoft.com/office/spreadsheetml/2009/9/main" objectType="CheckBox" checked="Checked" fmlaLink="$N$32" lockText="1" noThreeD="1"/>
</file>

<file path=xl/ctrlProps/ctrlProp456.xml><?xml version="1.0" encoding="utf-8"?>
<formControlPr xmlns="http://schemas.microsoft.com/office/spreadsheetml/2009/9/main" objectType="CheckBox" checked="Checked" fmlaLink="$N$33" lockText="1" noThreeD="1"/>
</file>

<file path=xl/ctrlProps/ctrlProp457.xml><?xml version="1.0" encoding="utf-8"?>
<formControlPr xmlns="http://schemas.microsoft.com/office/spreadsheetml/2009/9/main" objectType="CheckBox" checked="Checked" fmlaLink="$N$34" lockText="1" noThreeD="1"/>
</file>

<file path=xl/ctrlProps/ctrlProp458.xml><?xml version="1.0" encoding="utf-8"?>
<formControlPr xmlns="http://schemas.microsoft.com/office/spreadsheetml/2009/9/main" objectType="CheckBox" checked="Checked" fmlaLink="$N$35" lockText="1" noThreeD="1"/>
</file>

<file path=xl/ctrlProps/ctrlProp459.xml><?xml version="1.0" encoding="utf-8"?>
<formControlPr xmlns="http://schemas.microsoft.com/office/spreadsheetml/2009/9/main" objectType="CheckBox" checked="Checked" fmlaLink="$R$8" lockText="1" noThreeD="1"/>
</file>

<file path=xl/ctrlProps/ctrlProp460.xml><?xml version="1.0" encoding="utf-8"?>
<formControlPr xmlns="http://schemas.microsoft.com/office/spreadsheetml/2009/9/main" objectType="CheckBox" checked="Checked" fmlaLink="$R$9" lockText="1" noThreeD="1"/>
</file>

<file path=xl/ctrlProps/ctrlProp461.xml><?xml version="1.0" encoding="utf-8"?>
<formControlPr xmlns="http://schemas.microsoft.com/office/spreadsheetml/2009/9/main" objectType="CheckBox" checked="Checked" fmlaLink="$R$10" lockText="1" noThreeD="1"/>
</file>

<file path=xl/ctrlProps/ctrlProp462.xml><?xml version="1.0" encoding="utf-8"?>
<formControlPr xmlns="http://schemas.microsoft.com/office/spreadsheetml/2009/9/main" objectType="CheckBox" checked="Checked" fmlaLink="$R$11" lockText="1" noThreeD="1"/>
</file>

<file path=xl/ctrlProps/ctrlProp463.xml><?xml version="1.0" encoding="utf-8"?>
<formControlPr xmlns="http://schemas.microsoft.com/office/spreadsheetml/2009/9/main" objectType="CheckBox" checked="Checked" fmlaLink="$R$12" lockText="1" noThreeD="1"/>
</file>

<file path=xl/ctrlProps/ctrlProp464.xml><?xml version="1.0" encoding="utf-8"?>
<formControlPr xmlns="http://schemas.microsoft.com/office/spreadsheetml/2009/9/main" objectType="CheckBox" checked="Checked" fmlaLink="$R$13" lockText="1" noThreeD="1"/>
</file>

<file path=xl/ctrlProps/ctrlProp465.xml><?xml version="1.0" encoding="utf-8"?>
<formControlPr xmlns="http://schemas.microsoft.com/office/spreadsheetml/2009/9/main" objectType="CheckBox" checked="Checked" fmlaLink="$R$14" lockText="1" noThreeD="1"/>
</file>

<file path=xl/ctrlProps/ctrlProp466.xml><?xml version="1.0" encoding="utf-8"?>
<formControlPr xmlns="http://schemas.microsoft.com/office/spreadsheetml/2009/9/main" objectType="CheckBox" checked="Checked" fmlaLink="$R$15" lockText="1" noThreeD="1"/>
</file>

<file path=xl/ctrlProps/ctrlProp467.xml><?xml version="1.0" encoding="utf-8"?>
<formControlPr xmlns="http://schemas.microsoft.com/office/spreadsheetml/2009/9/main" objectType="CheckBox" checked="Checked" fmlaLink="$R$16" lockText="1" noThreeD="1"/>
</file>

<file path=xl/ctrlProps/ctrlProp468.xml><?xml version="1.0" encoding="utf-8"?>
<formControlPr xmlns="http://schemas.microsoft.com/office/spreadsheetml/2009/9/main" objectType="CheckBox" checked="Checked" fmlaLink="$R$17" lockText="1" noThreeD="1"/>
</file>

<file path=xl/ctrlProps/ctrlProp469.xml><?xml version="1.0" encoding="utf-8"?>
<formControlPr xmlns="http://schemas.microsoft.com/office/spreadsheetml/2009/9/main" objectType="CheckBox" checked="Checked" fmlaLink="$R$18" lockText="1" noThreeD="1"/>
</file>

<file path=xl/ctrlProps/ctrlProp470.xml><?xml version="1.0" encoding="utf-8"?>
<formControlPr xmlns="http://schemas.microsoft.com/office/spreadsheetml/2009/9/main" objectType="CheckBox" checked="Checked" fmlaLink="$R$19" lockText="1" noThreeD="1"/>
</file>

<file path=xl/ctrlProps/ctrlProp471.xml><?xml version="1.0" encoding="utf-8"?>
<formControlPr xmlns="http://schemas.microsoft.com/office/spreadsheetml/2009/9/main" objectType="CheckBox" checked="Checked" fmlaLink="$R$20" lockText="1" noThreeD="1"/>
</file>

<file path=xl/ctrlProps/ctrlProp472.xml><?xml version="1.0" encoding="utf-8"?>
<formControlPr xmlns="http://schemas.microsoft.com/office/spreadsheetml/2009/9/main" objectType="CheckBox" checked="Checked" fmlaLink="$R$21" lockText="1" noThreeD="1"/>
</file>

<file path=xl/ctrlProps/ctrlProp473.xml><?xml version="1.0" encoding="utf-8"?>
<formControlPr xmlns="http://schemas.microsoft.com/office/spreadsheetml/2009/9/main" objectType="CheckBox" checked="Checked" fmlaLink="$R$22" lockText="1" noThreeD="1"/>
</file>

<file path=xl/ctrlProps/ctrlProp474.xml><?xml version="1.0" encoding="utf-8"?>
<formControlPr xmlns="http://schemas.microsoft.com/office/spreadsheetml/2009/9/main" objectType="CheckBox" checked="Checked" fmlaLink="$R$23" lockText="1" noThreeD="1"/>
</file>

<file path=xl/ctrlProps/ctrlProp475.xml><?xml version="1.0" encoding="utf-8"?>
<formControlPr xmlns="http://schemas.microsoft.com/office/spreadsheetml/2009/9/main" objectType="CheckBox" checked="Checked" fmlaLink="$R$24" lockText="1" noThreeD="1"/>
</file>

<file path=xl/ctrlProps/ctrlProp476.xml><?xml version="1.0" encoding="utf-8"?>
<formControlPr xmlns="http://schemas.microsoft.com/office/spreadsheetml/2009/9/main" objectType="CheckBox" checked="Checked" fmlaLink="$R$25" lockText="1" noThreeD="1"/>
</file>

<file path=xl/ctrlProps/ctrlProp477.xml><?xml version="1.0" encoding="utf-8"?>
<formControlPr xmlns="http://schemas.microsoft.com/office/spreadsheetml/2009/9/main" objectType="CheckBox" checked="Checked" fmlaLink="$R$26" lockText="1" noThreeD="1"/>
</file>

<file path=xl/ctrlProps/ctrlProp478.xml><?xml version="1.0" encoding="utf-8"?>
<formControlPr xmlns="http://schemas.microsoft.com/office/spreadsheetml/2009/9/main" objectType="CheckBox" checked="Checked" fmlaLink="$R$27" lockText="1" noThreeD="1"/>
</file>

<file path=xl/ctrlProps/ctrlProp479.xml><?xml version="1.0" encoding="utf-8"?>
<formControlPr xmlns="http://schemas.microsoft.com/office/spreadsheetml/2009/9/main" objectType="CheckBox" checked="Checked" fmlaLink="$R$7" lockText="1" noThreeD="1"/>
</file>

<file path=xl/ctrlProps/ctrlProp480.xml><?xml version="1.0" encoding="utf-8"?>
<formControlPr xmlns="http://schemas.microsoft.com/office/spreadsheetml/2009/9/main" objectType="CheckBox" checked="Checked" fmlaLink="$R$6" lockText="1" noThreeD="1"/>
</file>

<file path=xl/ctrlProps/ctrlProp481.xml><?xml version="1.0" encoding="utf-8"?>
<formControlPr xmlns="http://schemas.microsoft.com/office/spreadsheetml/2009/9/main" objectType="CheckBox" checked="Checked" fmlaLink="$R$5" lockText="1" noThreeD="1"/>
</file>

<file path=xl/ctrlProps/ctrlProp482.xml><?xml version="1.0" encoding="utf-8"?>
<formControlPr xmlns="http://schemas.microsoft.com/office/spreadsheetml/2009/9/main" objectType="CheckBox" checked="Checked" fmlaLink="$R$28" lockText="1" noThreeD="1"/>
</file>

<file path=xl/ctrlProps/ctrlProp483.xml><?xml version="1.0" encoding="utf-8"?>
<formControlPr xmlns="http://schemas.microsoft.com/office/spreadsheetml/2009/9/main" objectType="CheckBox" checked="Checked" fmlaLink="$R$29" lockText="1" noThreeD="1"/>
</file>

<file path=xl/ctrlProps/ctrlProp484.xml><?xml version="1.0" encoding="utf-8"?>
<formControlPr xmlns="http://schemas.microsoft.com/office/spreadsheetml/2009/9/main" objectType="CheckBox" checked="Checked" fmlaLink="$R$30" lockText="1" noThreeD="1"/>
</file>

<file path=xl/ctrlProps/ctrlProp485.xml><?xml version="1.0" encoding="utf-8"?>
<formControlPr xmlns="http://schemas.microsoft.com/office/spreadsheetml/2009/9/main" objectType="CheckBox" checked="Checked" fmlaLink="$R$31" lockText="1" noThreeD="1"/>
</file>

<file path=xl/ctrlProps/ctrlProp486.xml><?xml version="1.0" encoding="utf-8"?>
<formControlPr xmlns="http://schemas.microsoft.com/office/spreadsheetml/2009/9/main" objectType="CheckBox" checked="Checked" fmlaLink="$R$32" lockText="1" noThreeD="1"/>
</file>

<file path=xl/ctrlProps/ctrlProp487.xml><?xml version="1.0" encoding="utf-8"?>
<formControlPr xmlns="http://schemas.microsoft.com/office/spreadsheetml/2009/9/main" objectType="CheckBox" checked="Checked" fmlaLink="$R$33" lockText="1" noThreeD="1"/>
</file>

<file path=xl/ctrlProps/ctrlProp488.xml><?xml version="1.0" encoding="utf-8"?>
<formControlPr xmlns="http://schemas.microsoft.com/office/spreadsheetml/2009/9/main" objectType="CheckBox" checked="Checked" fmlaLink="$R$34" lockText="1" noThreeD="1"/>
</file>

<file path=xl/ctrlProps/ctrlProp489.xml><?xml version="1.0" encoding="utf-8"?>
<formControlPr xmlns="http://schemas.microsoft.com/office/spreadsheetml/2009/9/main" objectType="CheckBox" checked="Checked" fmlaLink="$R$35" lockText="1" noThreeD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CheckBox" checked="Checked" fmlaLink="$L$8" lockText="1" noThreeD="1"/>
</file>

<file path=xl/ctrlProps/ctrlProp492.xml><?xml version="1.0" encoding="utf-8"?>
<formControlPr xmlns="http://schemas.microsoft.com/office/spreadsheetml/2009/9/main" objectType="CheckBox" checked="Checked" fmlaLink="$L$9" lockText="1" noThreeD="1"/>
</file>

<file path=xl/ctrlProps/ctrlProp493.xml><?xml version="1.0" encoding="utf-8"?>
<formControlPr xmlns="http://schemas.microsoft.com/office/spreadsheetml/2009/9/main" objectType="CheckBox" checked="Checked" fmlaLink="$L$10" lockText="1" noThreeD="1"/>
</file>

<file path=xl/ctrlProps/ctrlProp494.xml><?xml version="1.0" encoding="utf-8"?>
<formControlPr xmlns="http://schemas.microsoft.com/office/spreadsheetml/2009/9/main" objectType="CheckBox" checked="Checked" fmlaLink="$L$11" lockText="1" noThreeD="1"/>
</file>

<file path=xl/ctrlProps/ctrlProp495.xml><?xml version="1.0" encoding="utf-8"?>
<formControlPr xmlns="http://schemas.microsoft.com/office/spreadsheetml/2009/9/main" objectType="CheckBox" checked="Checked" fmlaLink="$L$12" lockText="1" noThreeD="1"/>
</file>

<file path=xl/ctrlProps/ctrlProp496.xml><?xml version="1.0" encoding="utf-8"?>
<formControlPr xmlns="http://schemas.microsoft.com/office/spreadsheetml/2009/9/main" objectType="CheckBox" checked="Checked" fmlaLink="$L$13" lockText="1" noThreeD="1"/>
</file>

<file path=xl/ctrlProps/ctrlProp497.xml><?xml version="1.0" encoding="utf-8"?>
<formControlPr xmlns="http://schemas.microsoft.com/office/spreadsheetml/2009/9/main" objectType="CheckBox" checked="Checked" fmlaLink="$L$14" lockText="1" noThreeD="1"/>
</file>

<file path=xl/ctrlProps/ctrlProp498.xml><?xml version="1.0" encoding="utf-8"?>
<formControlPr xmlns="http://schemas.microsoft.com/office/spreadsheetml/2009/9/main" objectType="CheckBox" checked="Checked" fmlaLink="$L$15" lockText="1" noThreeD="1"/>
</file>

<file path=xl/ctrlProps/ctrlProp499.xml><?xml version="1.0" encoding="utf-8"?>
<formControlPr xmlns="http://schemas.microsoft.com/office/spreadsheetml/2009/9/main" objectType="CheckBox" checked="Checked" fmlaLink="$L$16" lockText="1" noThreeD="1"/>
</file>

<file path=xl/ctrlProps/ctrlProp500.xml><?xml version="1.0" encoding="utf-8"?>
<formControlPr xmlns="http://schemas.microsoft.com/office/spreadsheetml/2009/9/main" objectType="CheckBox" checked="Checked" fmlaLink="$L$17" lockText="1" noThreeD="1"/>
</file>

<file path=xl/ctrlProps/ctrlProp501.xml><?xml version="1.0" encoding="utf-8"?>
<formControlPr xmlns="http://schemas.microsoft.com/office/spreadsheetml/2009/9/main" objectType="CheckBox" checked="Checked" fmlaLink="$L$18" lockText="1" noThreeD="1"/>
</file>

<file path=xl/ctrlProps/ctrlProp502.xml><?xml version="1.0" encoding="utf-8"?>
<formControlPr xmlns="http://schemas.microsoft.com/office/spreadsheetml/2009/9/main" objectType="CheckBox" checked="Checked" fmlaLink="$L$19" lockText="1" noThreeD="1"/>
</file>

<file path=xl/ctrlProps/ctrlProp503.xml><?xml version="1.0" encoding="utf-8"?>
<formControlPr xmlns="http://schemas.microsoft.com/office/spreadsheetml/2009/9/main" objectType="CheckBox" checked="Checked" fmlaLink="$L$20" lockText="1" noThreeD="1"/>
</file>

<file path=xl/ctrlProps/ctrlProp504.xml><?xml version="1.0" encoding="utf-8"?>
<formControlPr xmlns="http://schemas.microsoft.com/office/spreadsheetml/2009/9/main" objectType="CheckBox" checked="Checked" fmlaLink="$L$21" lockText="1" noThreeD="1"/>
</file>

<file path=xl/ctrlProps/ctrlProp505.xml><?xml version="1.0" encoding="utf-8"?>
<formControlPr xmlns="http://schemas.microsoft.com/office/spreadsheetml/2009/9/main" objectType="CheckBox" checked="Checked" fmlaLink="$L$22" lockText="1" noThreeD="1"/>
</file>

<file path=xl/ctrlProps/ctrlProp506.xml><?xml version="1.0" encoding="utf-8"?>
<formControlPr xmlns="http://schemas.microsoft.com/office/spreadsheetml/2009/9/main" objectType="CheckBox" checked="Checked" fmlaLink="$L$23" lockText="1" noThreeD="1"/>
</file>

<file path=xl/ctrlProps/ctrlProp507.xml><?xml version="1.0" encoding="utf-8"?>
<formControlPr xmlns="http://schemas.microsoft.com/office/spreadsheetml/2009/9/main" objectType="CheckBox" checked="Checked" fmlaLink="$L$24" lockText="1" noThreeD="1"/>
</file>

<file path=xl/ctrlProps/ctrlProp508.xml><?xml version="1.0" encoding="utf-8"?>
<formControlPr xmlns="http://schemas.microsoft.com/office/spreadsheetml/2009/9/main" objectType="CheckBox" checked="Checked" fmlaLink="$L$25" lockText="1" noThreeD="1"/>
</file>

<file path=xl/ctrlProps/ctrlProp509.xml><?xml version="1.0" encoding="utf-8"?>
<formControlPr xmlns="http://schemas.microsoft.com/office/spreadsheetml/2009/9/main" objectType="CheckBox" checked="Checked" fmlaLink="$L$26" lockText="1" noThreeD="1"/>
</file>

<file path=xl/ctrlProps/ctrlProp510.xml><?xml version="1.0" encoding="utf-8"?>
<formControlPr xmlns="http://schemas.microsoft.com/office/spreadsheetml/2009/9/main" objectType="CheckBox" checked="Checked" fmlaLink="$L$27" lockText="1" noThreeD="1"/>
</file>

<file path=xl/ctrlProps/ctrlProp511.xml><?xml version="1.0" encoding="utf-8"?>
<formControlPr xmlns="http://schemas.microsoft.com/office/spreadsheetml/2009/9/main" objectType="CheckBox" checked="Checked" fmlaLink="$L$7" lockText="1" noThreeD="1"/>
</file>

<file path=xl/ctrlProps/ctrlProp512.xml><?xml version="1.0" encoding="utf-8"?>
<formControlPr xmlns="http://schemas.microsoft.com/office/spreadsheetml/2009/9/main" objectType="CheckBox" checked="Checked" fmlaLink="$L$6" lockText="1" noThreeD="1"/>
</file>

<file path=xl/ctrlProps/ctrlProp513.xml><?xml version="1.0" encoding="utf-8"?>
<formControlPr xmlns="http://schemas.microsoft.com/office/spreadsheetml/2009/9/main" objectType="CheckBox" checked="Checked" fmlaLink="$M$7" lockText="1" noThreeD="1"/>
</file>

<file path=xl/ctrlProps/ctrlProp514.xml><?xml version="1.0" encoding="utf-8"?>
<formControlPr xmlns="http://schemas.microsoft.com/office/spreadsheetml/2009/9/main" objectType="CheckBox" checked="Checked" fmlaLink="$M$8" lockText="1" noThreeD="1"/>
</file>

<file path=xl/ctrlProps/ctrlProp515.xml><?xml version="1.0" encoding="utf-8"?>
<formControlPr xmlns="http://schemas.microsoft.com/office/spreadsheetml/2009/9/main" objectType="CheckBox" checked="Checked" fmlaLink="$M$9" lockText="1" noThreeD="1"/>
</file>

<file path=xl/ctrlProps/ctrlProp516.xml><?xml version="1.0" encoding="utf-8"?>
<formControlPr xmlns="http://schemas.microsoft.com/office/spreadsheetml/2009/9/main" objectType="CheckBox" checked="Checked" fmlaLink="$M$10" lockText="1" noThreeD="1"/>
</file>

<file path=xl/ctrlProps/ctrlProp517.xml><?xml version="1.0" encoding="utf-8"?>
<formControlPr xmlns="http://schemas.microsoft.com/office/spreadsheetml/2009/9/main" objectType="CheckBox" checked="Checked" fmlaLink="$M$12" lockText="1" noThreeD="1"/>
</file>

<file path=xl/ctrlProps/ctrlProp518.xml><?xml version="1.0" encoding="utf-8"?>
<formControlPr xmlns="http://schemas.microsoft.com/office/spreadsheetml/2009/9/main" objectType="CheckBox" checked="Checked" fmlaLink="$M$13" lockText="1" noThreeD="1"/>
</file>

<file path=xl/ctrlProps/ctrlProp519.xml><?xml version="1.0" encoding="utf-8"?>
<formControlPr xmlns="http://schemas.microsoft.com/office/spreadsheetml/2009/9/main" objectType="CheckBox" checked="Checked" fmlaLink="$M$14" lockText="1" noThreeD="1"/>
</file>

<file path=xl/ctrlProps/ctrlProp520.xml><?xml version="1.0" encoding="utf-8"?>
<formControlPr xmlns="http://schemas.microsoft.com/office/spreadsheetml/2009/9/main" objectType="CheckBox" checked="Checked" fmlaLink="$M$15" lockText="1" noThreeD="1"/>
</file>

<file path=xl/ctrlProps/ctrlProp521.xml><?xml version="1.0" encoding="utf-8"?>
<formControlPr xmlns="http://schemas.microsoft.com/office/spreadsheetml/2009/9/main" objectType="CheckBox" checked="Checked" fmlaLink="$M$16" lockText="1" noThreeD="1"/>
</file>

<file path=xl/ctrlProps/ctrlProp522.xml><?xml version="1.0" encoding="utf-8"?>
<formControlPr xmlns="http://schemas.microsoft.com/office/spreadsheetml/2009/9/main" objectType="CheckBox" checked="Checked" fmlaLink="$M$17" lockText="1" noThreeD="1"/>
</file>

<file path=xl/ctrlProps/ctrlProp523.xml><?xml version="1.0" encoding="utf-8"?>
<formControlPr xmlns="http://schemas.microsoft.com/office/spreadsheetml/2009/9/main" objectType="CheckBox" checked="Checked" fmlaLink="$M$18" lockText="1" noThreeD="1"/>
</file>

<file path=xl/ctrlProps/ctrlProp524.xml><?xml version="1.0" encoding="utf-8"?>
<formControlPr xmlns="http://schemas.microsoft.com/office/spreadsheetml/2009/9/main" objectType="CheckBox" checked="Checked" fmlaLink="$M$19" lockText="1" noThreeD="1"/>
</file>

<file path=xl/ctrlProps/ctrlProp525.xml><?xml version="1.0" encoding="utf-8"?>
<formControlPr xmlns="http://schemas.microsoft.com/office/spreadsheetml/2009/9/main" objectType="CheckBox" checked="Checked" fmlaLink="$M$20" lockText="1" noThreeD="1"/>
</file>

<file path=xl/ctrlProps/ctrlProp526.xml><?xml version="1.0" encoding="utf-8"?>
<formControlPr xmlns="http://schemas.microsoft.com/office/spreadsheetml/2009/9/main" objectType="CheckBox" checked="Checked" fmlaLink="$M$21" lockText="1" noThreeD="1"/>
</file>

<file path=xl/ctrlProps/ctrlProp527.xml><?xml version="1.0" encoding="utf-8"?>
<formControlPr xmlns="http://schemas.microsoft.com/office/spreadsheetml/2009/9/main" objectType="CheckBox" checked="Checked" fmlaLink="$M$22" lockText="1" noThreeD="1"/>
</file>

<file path=xl/ctrlProps/ctrlProp528.xml><?xml version="1.0" encoding="utf-8"?>
<formControlPr xmlns="http://schemas.microsoft.com/office/spreadsheetml/2009/9/main" objectType="CheckBox" checked="Checked" fmlaLink="$M$23" lockText="1" noThreeD="1"/>
</file>

<file path=xl/ctrlProps/ctrlProp529.xml><?xml version="1.0" encoding="utf-8"?>
<formControlPr xmlns="http://schemas.microsoft.com/office/spreadsheetml/2009/9/main" objectType="CheckBox" checked="Checked" fmlaLink="$M$24" lockText="1" noThreeD="1"/>
</file>

<file path=xl/ctrlProps/ctrlProp530.xml><?xml version="1.0" encoding="utf-8"?>
<formControlPr xmlns="http://schemas.microsoft.com/office/spreadsheetml/2009/9/main" objectType="CheckBox" checked="Checked" fmlaLink="$M$25" lockText="1" noThreeD="1"/>
</file>

<file path=xl/ctrlProps/ctrlProp531.xml><?xml version="1.0" encoding="utf-8"?>
<formControlPr xmlns="http://schemas.microsoft.com/office/spreadsheetml/2009/9/main" objectType="CheckBox" checked="Checked" fmlaLink="$M$26" lockText="1" noThreeD="1"/>
</file>

<file path=xl/ctrlProps/ctrlProp532.xml><?xml version="1.0" encoding="utf-8"?>
<formControlPr xmlns="http://schemas.microsoft.com/office/spreadsheetml/2009/9/main" objectType="CheckBox" checked="Checked" fmlaLink="$M$27" lockText="1" noThreeD="1"/>
</file>

<file path=xl/ctrlProps/ctrlProp533.xml><?xml version="1.0" encoding="utf-8"?>
<formControlPr xmlns="http://schemas.microsoft.com/office/spreadsheetml/2009/9/main" objectType="CheckBox" checked="Checked" fmlaLink="$M$6" lockText="1" noThreeD="1"/>
</file>

<file path=xl/ctrlProps/ctrlProp534.xml><?xml version="1.0" encoding="utf-8"?>
<formControlPr xmlns="http://schemas.microsoft.com/office/spreadsheetml/2009/9/main" objectType="CheckBox" checked="Checked" fmlaLink="$M$5" lockText="1" noThreeD="1"/>
</file>

<file path=xl/ctrlProps/ctrlProp535.xml><?xml version="1.0" encoding="utf-8"?>
<formControlPr xmlns="http://schemas.microsoft.com/office/spreadsheetml/2009/9/main" objectType="CheckBox" checked="Checked" fmlaLink="$N$5" lockText="1" noThreeD="1"/>
</file>

<file path=xl/ctrlProps/ctrlProp536.xml><?xml version="1.0" encoding="utf-8"?>
<formControlPr xmlns="http://schemas.microsoft.com/office/spreadsheetml/2009/9/main" objectType="CheckBox" checked="Checked" fmlaLink="$L$5" lockText="1" noThreeD="1"/>
</file>

<file path=xl/ctrlProps/ctrlProp537.xml><?xml version="1.0" encoding="utf-8"?>
<formControlPr xmlns="http://schemas.microsoft.com/office/spreadsheetml/2009/9/main" objectType="CheckBox" checked="Checked" fmlaLink="$M$11" lockText="1" noThreeD="1"/>
</file>

<file path=xl/ctrlProps/ctrlProp538.xml><?xml version="1.0" encoding="utf-8"?>
<formControlPr xmlns="http://schemas.microsoft.com/office/spreadsheetml/2009/9/main" objectType="CheckBox" checked="Checked" fmlaLink="$L$28" lockText="1" noThreeD="1"/>
</file>

<file path=xl/ctrlProps/ctrlProp539.xml><?xml version="1.0" encoding="utf-8"?>
<formControlPr xmlns="http://schemas.microsoft.com/office/spreadsheetml/2009/9/main" objectType="CheckBox" checked="Checked" fmlaLink="$L$29" lockText="1" noThreeD="1"/>
</file>

<file path=xl/ctrlProps/ctrlProp540.xml><?xml version="1.0" encoding="utf-8"?>
<formControlPr xmlns="http://schemas.microsoft.com/office/spreadsheetml/2009/9/main" objectType="CheckBox" checked="Checked" fmlaLink="$L$30" lockText="1" noThreeD="1"/>
</file>

<file path=xl/ctrlProps/ctrlProp541.xml><?xml version="1.0" encoding="utf-8"?>
<formControlPr xmlns="http://schemas.microsoft.com/office/spreadsheetml/2009/9/main" objectType="CheckBox" checked="Checked" fmlaLink="$L$31" lockText="1" noThreeD="1"/>
</file>

<file path=xl/ctrlProps/ctrlProp542.xml><?xml version="1.0" encoding="utf-8"?>
<formControlPr xmlns="http://schemas.microsoft.com/office/spreadsheetml/2009/9/main" objectType="CheckBox" checked="Checked" fmlaLink="$L$32" lockText="1" noThreeD="1"/>
</file>

<file path=xl/ctrlProps/ctrlProp543.xml><?xml version="1.0" encoding="utf-8"?>
<formControlPr xmlns="http://schemas.microsoft.com/office/spreadsheetml/2009/9/main" objectType="CheckBox" checked="Checked" fmlaLink="$L$33" lockText="1" noThreeD="1"/>
</file>

<file path=xl/ctrlProps/ctrlProp544.xml><?xml version="1.0" encoding="utf-8"?>
<formControlPr xmlns="http://schemas.microsoft.com/office/spreadsheetml/2009/9/main" objectType="CheckBox" checked="Checked" fmlaLink="$L$34" lockText="1" noThreeD="1"/>
</file>

<file path=xl/ctrlProps/ctrlProp545.xml><?xml version="1.0" encoding="utf-8"?>
<formControlPr xmlns="http://schemas.microsoft.com/office/spreadsheetml/2009/9/main" objectType="CheckBox" checked="Checked" fmlaLink="$M$28" lockText="1" noThreeD="1"/>
</file>

<file path=xl/ctrlProps/ctrlProp546.xml><?xml version="1.0" encoding="utf-8"?>
<formControlPr xmlns="http://schemas.microsoft.com/office/spreadsheetml/2009/9/main" objectType="CheckBox" checked="Checked" fmlaLink="$M$29" lockText="1" noThreeD="1"/>
</file>

<file path=xl/ctrlProps/ctrlProp547.xml><?xml version="1.0" encoding="utf-8"?>
<formControlPr xmlns="http://schemas.microsoft.com/office/spreadsheetml/2009/9/main" objectType="CheckBox" checked="Checked" fmlaLink="$M$30" lockText="1" noThreeD="1"/>
</file>

<file path=xl/ctrlProps/ctrlProp548.xml><?xml version="1.0" encoding="utf-8"?>
<formControlPr xmlns="http://schemas.microsoft.com/office/spreadsheetml/2009/9/main" objectType="CheckBox" checked="Checked" fmlaLink="$M$31" lockText="1" noThreeD="1"/>
</file>

<file path=xl/ctrlProps/ctrlProp549.xml><?xml version="1.0" encoding="utf-8"?>
<formControlPr xmlns="http://schemas.microsoft.com/office/spreadsheetml/2009/9/main" objectType="CheckBox" checked="Checked" fmlaLink="$M$32" lockText="1" noThreeD="1"/>
</file>

<file path=xl/ctrlProps/ctrlProp550.xml><?xml version="1.0" encoding="utf-8"?>
<formControlPr xmlns="http://schemas.microsoft.com/office/spreadsheetml/2009/9/main" objectType="CheckBox" checked="Checked" fmlaLink="$M$33" lockText="1" noThreeD="1"/>
</file>

<file path=xl/ctrlProps/ctrlProp551.xml><?xml version="1.0" encoding="utf-8"?>
<formControlPr xmlns="http://schemas.microsoft.com/office/spreadsheetml/2009/9/main" objectType="CheckBox" checked="Checked" fmlaLink="$M$34" lockText="1" noThreeD="1"/>
</file>

<file path=xl/ctrlProps/ctrlProp552.xml><?xml version="1.0" encoding="utf-8"?>
<formControlPr xmlns="http://schemas.microsoft.com/office/spreadsheetml/2009/9/main" objectType="CheckBox" checked="Checked" fmlaLink="$L$35" lockText="1" noThreeD="1"/>
</file>

<file path=xl/ctrlProps/ctrlProp553.xml><?xml version="1.0" encoding="utf-8"?>
<formControlPr xmlns="http://schemas.microsoft.com/office/spreadsheetml/2009/9/main" objectType="CheckBox" checked="Checked" fmlaLink="$M$35" lockText="1" noThreeD="1"/>
</file>

<file path=xl/ctrlProps/ctrlProp554.xml><?xml version="1.0" encoding="utf-8"?>
<formControlPr xmlns="http://schemas.microsoft.com/office/spreadsheetml/2009/9/main" objectType="CheckBox" checked="Checked" fmlaLink="$N$6" lockText="1" noThreeD="1"/>
</file>

<file path=xl/ctrlProps/ctrlProp555.xml><?xml version="1.0" encoding="utf-8"?>
<formControlPr xmlns="http://schemas.microsoft.com/office/spreadsheetml/2009/9/main" objectType="CheckBox" checked="Checked" fmlaLink="$N$7" lockText="1" noThreeD="1"/>
</file>

<file path=xl/ctrlProps/ctrlProp556.xml><?xml version="1.0" encoding="utf-8"?>
<formControlPr xmlns="http://schemas.microsoft.com/office/spreadsheetml/2009/9/main" objectType="CheckBox" checked="Checked" fmlaLink="$N$8" lockText="1" noThreeD="1"/>
</file>

<file path=xl/ctrlProps/ctrlProp557.xml><?xml version="1.0" encoding="utf-8"?>
<formControlPr xmlns="http://schemas.microsoft.com/office/spreadsheetml/2009/9/main" objectType="CheckBox" checked="Checked" fmlaLink="$N$9" lockText="1" noThreeD="1"/>
</file>

<file path=xl/ctrlProps/ctrlProp558.xml><?xml version="1.0" encoding="utf-8"?>
<formControlPr xmlns="http://schemas.microsoft.com/office/spreadsheetml/2009/9/main" objectType="CheckBox" checked="Checked" fmlaLink="$N$10" lockText="1" noThreeD="1"/>
</file>

<file path=xl/ctrlProps/ctrlProp559.xml><?xml version="1.0" encoding="utf-8"?>
<formControlPr xmlns="http://schemas.microsoft.com/office/spreadsheetml/2009/9/main" objectType="CheckBox" checked="Checked" fmlaLink="$N$11" lockText="1" noThreeD="1"/>
</file>

<file path=xl/ctrlProps/ctrlProp560.xml><?xml version="1.0" encoding="utf-8"?>
<formControlPr xmlns="http://schemas.microsoft.com/office/spreadsheetml/2009/9/main" objectType="CheckBox" checked="Checked" fmlaLink="$N$12" lockText="1" noThreeD="1"/>
</file>

<file path=xl/ctrlProps/ctrlProp561.xml><?xml version="1.0" encoding="utf-8"?>
<formControlPr xmlns="http://schemas.microsoft.com/office/spreadsheetml/2009/9/main" objectType="CheckBox" checked="Checked" fmlaLink="$N$13" lockText="1" noThreeD="1"/>
</file>

<file path=xl/ctrlProps/ctrlProp562.xml><?xml version="1.0" encoding="utf-8"?>
<formControlPr xmlns="http://schemas.microsoft.com/office/spreadsheetml/2009/9/main" objectType="CheckBox" checked="Checked" fmlaLink="$N$14" lockText="1" noThreeD="1"/>
</file>

<file path=xl/ctrlProps/ctrlProp563.xml><?xml version="1.0" encoding="utf-8"?>
<formControlPr xmlns="http://schemas.microsoft.com/office/spreadsheetml/2009/9/main" objectType="CheckBox" checked="Checked" fmlaLink="$N$15" lockText="1" noThreeD="1"/>
</file>

<file path=xl/ctrlProps/ctrlProp564.xml><?xml version="1.0" encoding="utf-8"?>
<formControlPr xmlns="http://schemas.microsoft.com/office/spreadsheetml/2009/9/main" objectType="CheckBox" checked="Checked" fmlaLink="$N$16" lockText="1" noThreeD="1"/>
</file>

<file path=xl/ctrlProps/ctrlProp565.xml><?xml version="1.0" encoding="utf-8"?>
<formControlPr xmlns="http://schemas.microsoft.com/office/spreadsheetml/2009/9/main" objectType="CheckBox" checked="Checked" fmlaLink="$N$17" lockText="1" noThreeD="1"/>
</file>

<file path=xl/ctrlProps/ctrlProp566.xml><?xml version="1.0" encoding="utf-8"?>
<formControlPr xmlns="http://schemas.microsoft.com/office/spreadsheetml/2009/9/main" objectType="CheckBox" checked="Checked" fmlaLink="$N$18" lockText="1" noThreeD="1"/>
</file>

<file path=xl/ctrlProps/ctrlProp567.xml><?xml version="1.0" encoding="utf-8"?>
<formControlPr xmlns="http://schemas.microsoft.com/office/spreadsheetml/2009/9/main" objectType="CheckBox" checked="Checked" fmlaLink="$N$19" lockText="1" noThreeD="1"/>
</file>

<file path=xl/ctrlProps/ctrlProp568.xml><?xml version="1.0" encoding="utf-8"?>
<formControlPr xmlns="http://schemas.microsoft.com/office/spreadsheetml/2009/9/main" objectType="CheckBox" checked="Checked" fmlaLink="$N$20" lockText="1" noThreeD="1"/>
</file>

<file path=xl/ctrlProps/ctrlProp569.xml><?xml version="1.0" encoding="utf-8"?>
<formControlPr xmlns="http://schemas.microsoft.com/office/spreadsheetml/2009/9/main" objectType="CheckBox" checked="Checked" fmlaLink="$N$21" lockText="1" noThreeD="1"/>
</file>

<file path=xl/ctrlProps/ctrlProp570.xml><?xml version="1.0" encoding="utf-8"?>
<formControlPr xmlns="http://schemas.microsoft.com/office/spreadsheetml/2009/9/main" objectType="CheckBox" checked="Checked" fmlaLink="$N$22" lockText="1" noThreeD="1"/>
</file>

<file path=xl/ctrlProps/ctrlProp571.xml><?xml version="1.0" encoding="utf-8"?>
<formControlPr xmlns="http://schemas.microsoft.com/office/spreadsheetml/2009/9/main" objectType="CheckBox" checked="Checked" fmlaLink="$N$23" lockText="1" noThreeD="1"/>
</file>

<file path=xl/ctrlProps/ctrlProp572.xml><?xml version="1.0" encoding="utf-8"?>
<formControlPr xmlns="http://schemas.microsoft.com/office/spreadsheetml/2009/9/main" objectType="CheckBox" checked="Checked" fmlaLink="$N$24" lockText="1" noThreeD="1"/>
</file>

<file path=xl/ctrlProps/ctrlProp573.xml><?xml version="1.0" encoding="utf-8"?>
<formControlPr xmlns="http://schemas.microsoft.com/office/spreadsheetml/2009/9/main" objectType="CheckBox" checked="Checked" fmlaLink="$N$25" lockText="1" noThreeD="1"/>
</file>

<file path=xl/ctrlProps/ctrlProp574.xml><?xml version="1.0" encoding="utf-8"?>
<formControlPr xmlns="http://schemas.microsoft.com/office/spreadsheetml/2009/9/main" objectType="CheckBox" checked="Checked" fmlaLink="$N$26" lockText="1" noThreeD="1"/>
</file>

<file path=xl/ctrlProps/ctrlProp575.xml><?xml version="1.0" encoding="utf-8"?>
<formControlPr xmlns="http://schemas.microsoft.com/office/spreadsheetml/2009/9/main" objectType="CheckBox" checked="Checked" fmlaLink="$N$27" lockText="1" noThreeD="1"/>
</file>

<file path=xl/ctrlProps/ctrlProp576.xml><?xml version="1.0" encoding="utf-8"?>
<formControlPr xmlns="http://schemas.microsoft.com/office/spreadsheetml/2009/9/main" objectType="CheckBox" checked="Checked" fmlaLink="$N$28" lockText="1" noThreeD="1"/>
</file>

<file path=xl/ctrlProps/ctrlProp577.xml><?xml version="1.0" encoding="utf-8"?>
<formControlPr xmlns="http://schemas.microsoft.com/office/spreadsheetml/2009/9/main" objectType="CheckBox" checked="Checked" fmlaLink="$N$29" lockText="1" noThreeD="1"/>
</file>

<file path=xl/ctrlProps/ctrlProp578.xml><?xml version="1.0" encoding="utf-8"?>
<formControlPr xmlns="http://schemas.microsoft.com/office/spreadsheetml/2009/9/main" objectType="CheckBox" checked="Checked" fmlaLink="$N$30" lockText="1" noThreeD="1"/>
</file>

<file path=xl/ctrlProps/ctrlProp579.xml><?xml version="1.0" encoding="utf-8"?>
<formControlPr xmlns="http://schemas.microsoft.com/office/spreadsheetml/2009/9/main" objectType="CheckBox" checked="Checked" fmlaLink="$N$31" lockText="1" noThreeD="1"/>
</file>

<file path=xl/ctrlProps/ctrlProp580.xml><?xml version="1.0" encoding="utf-8"?>
<formControlPr xmlns="http://schemas.microsoft.com/office/spreadsheetml/2009/9/main" objectType="CheckBox" checked="Checked" fmlaLink="$N$32" lockText="1" noThreeD="1"/>
</file>

<file path=xl/ctrlProps/ctrlProp581.xml><?xml version="1.0" encoding="utf-8"?>
<formControlPr xmlns="http://schemas.microsoft.com/office/spreadsheetml/2009/9/main" objectType="CheckBox" checked="Checked" fmlaLink="$N$33" lockText="1" noThreeD="1"/>
</file>

<file path=xl/ctrlProps/ctrlProp582.xml><?xml version="1.0" encoding="utf-8"?>
<formControlPr xmlns="http://schemas.microsoft.com/office/spreadsheetml/2009/9/main" objectType="CheckBox" checked="Checked" fmlaLink="$N$34" lockText="1" noThreeD="1"/>
</file>

<file path=xl/ctrlProps/ctrlProp583.xml><?xml version="1.0" encoding="utf-8"?>
<formControlPr xmlns="http://schemas.microsoft.com/office/spreadsheetml/2009/9/main" objectType="CheckBox" checked="Checked" fmlaLink="$N$35" lockText="1" noThreeD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CheckBox" checked="Checked" fmlaLink="$M$8" lockText="1" noThreeD="1"/>
</file>

<file path=xl/ctrlProps/ctrlProp586.xml><?xml version="1.0" encoding="utf-8"?>
<formControlPr xmlns="http://schemas.microsoft.com/office/spreadsheetml/2009/9/main" objectType="CheckBox" checked="Checked" fmlaLink="$M$9" lockText="1" noThreeD="1"/>
</file>

<file path=xl/ctrlProps/ctrlProp587.xml><?xml version="1.0" encoding="utf-8"?>
<formControlPr xmlns="http://schemas.microsoft.com/office/spreadsheetml/2009/9/main" objectType="CheckBox" checked="Checked" fmlaLink="$M$10" lockText="1" noThreeD="1"/>
</file>

<file path=xl/ctrlProps/ctrlProp588.xml><?xml version="1.0" encoding="utf-8"?>
<formControlPr xmlns="http://schemas.microsoft.com/office/spreadsheetml/2009/9/main" objectType="CheckBox" checked="Checked" fmlaLink="$M$11" lockText="1" noThreeD="1"/>
</file>

<file path=xl/ctrlProps/ctrlProp589.xml><?xml version="1.0" encoding="utf-8"?>
<formControlPr xmlns="http://schemas.microsoft.com/office/spreadsheetml/2009/9/main" objectType="CheckBox" checked="Checked" fmlaLink="$M$12" lockText="1" noThreeD="1"/>
</file>

<file path=xl/ctrlProps/ctrlProp590.xml><?xml version="1.0" encoding="utf-8"?>
<formControlPr xmlns="http://schemas.microsoft.com/office/spreadsheetml/2009/9/main" objectType="CheckBox" checked="Checked" fmlaLink="$M$13" lockText="1" noThreeD="1"/>
</file>

<file path=xl/ctrlProps/ctrlProp591.xml><?xml version="1.0" encoding="utf-8"?>
<formControlPr xmlns="http://schemas.microsoft.com/office/spreadsheetml/2009/9/main" objectType="CheckBox" checked="Checked" fmlaLink="$M$14" lockText="1" noThreeD="1"/>
</file>

<file path=xl/ctrlProps/ctrlProp592.xml><?xml version="1.0" encoding="utf-8"?>
<formControlPr xmlns="http://schemas.microsoft.com/office/spreadsheetml/2009/9/main" objectType="CheckBox" checked="Checked" fmlaLink="$M$15" lockText="1" noThreeD="1"/>
</file>

<file path=xl/ctrlProps/ctrlProp593.xml><?xml version="1.0" encoding="utf-8"?>
<formControlPr xmlns="http://schemas.microsoft.com/office/spreadsheetml/2009/9/main" objectType="CheckBox" checked="Checked" fmlaLink="$M$16" lockText="1" noThreeD="1"/>
</file>

<file path=xl/ctrlProps/ctrlProp594.xml><?xml version="1.0" encoding="utf-8"?>
<formControlPr xmlns="http://schemas.microsoft.com/office/spreadsheetml/2009/9/main" objectType="CheckBox" checked="Checked" fmlaLink="$M$17" lockText="1" noThreeD="1"/>
</file>

<file path=xl/ctrlProps/ctrlProp595.xml><?xml version="1.0" encoding="utf-8"?>
<formControlPr xmlns="http://schemas.microsoft.com/office/spreadsheetml/2009/9/main" objectType="CheckBox" checked="Checked" fmlaLink="$M$18" lockText="1" noThreeD="1"/>
</file>

<file path=xl/ctrlProps/ctrlProp596.xml><?xml version="1.0" encoding="utf-8"?>
<formControlPr xmlns="http://schemas.microsoft.com/office/spreadsheetml/2009/9/main" objectType="CheckBox" checked="Checked" fmlaLink="$M$19" lockText="1" noThreeD="1"/>
</file>

<file path=xl/ctrlProps/ctrlProp597.xml><?xml version="1.0" encoding="utf-8"?>
<formControlPr xmlns="http://schemas.microsoft.com/office/spreadsheetml/2009/9/main" objectType="CheckBox" checked="Checked" fmlaLink="$M$20" lockText="1" noThreeD="1"/>
</file>

<file path=xl/ctrlProps/ctrlProp598.xml><?xml version="1.0" encoding="utf-8"?>
<formControlPr xmlns="http://schemas.microsoft.com/office/spreadsheetml/2009/9/main" objectType="CheckBox" checked="Checked" fmlaLink="$M$21" lockText="1" noThreeD="1"/>
</file>

<file path=xl/ctrlProps/ctrlProp599.xml><?xml version="1.0" encoding="utf-8"?>
<formControlPr xmlns="http://schemas.microsoft.com/office/spreadsheetml/2009/9/main" objectType="CheckBox" checked="Checked" fmlaLink="$M$22" lockText="1" noThreeD="1"/>
</file>

<file path=xl/ctrlProps/ctrlProp600.xml><?xml version="1.0" encoding="utf-8"?>
<formControlPr xmlns="http://schemas.microsoft.com/office/spreadsheetml/2009/9/main" objectType="CheckBox" checked="Checked" fmlaLink="$M$23" lockText="1" noThreeD="1"/>
</file>

<file path=xl/ctrlProps/ctrlProp601.xml><?xml version="1.0" encoding="utf-8"?>
<formControlPr xmlns="http://schemas.microsoft.com/office/spreadsheetml/2009/9/main" objectType="CheckBox" checked="Checked" fmlaLink="$M$24" lockText="1" noThreeD="1"/>
</file>

<file path=xl/ctrlProps/ctrlProp602.xml><?xml version="1.0" encoding="utf-8"?>
<formControlPr xmlns="http://schemas.microsoft.com/office/spreadsheetml/2009/9/main" objectType="CheckBox" checked="Checked" fmlaLink="$M$25" lockText="1" noThreeD="1"/>
</file>

<file path=xl/ctrlProps/ctrlProp603.xml><?xml version="1.0" encoding="utf-8"?>
<formControlPr xmlns="http://schemas.microsoft.com/office/spreadsheetml/2009/9/main" objectType="CheckBox" checked="Checked" fmlaLink="$M$26" lockText="1" noThreeD="1"/>
</file>

<file path=xl/ctrlProps/ctrlProp604.xml><?xml version="1.0" encoding="utf-8"?>
<formControlPr xmlns="http://schemas.microsoft.com/office/spreadsheetml/2009/9/main" objectType="CheckBox" checked="Checked" fmlaLink="$M$27" lockText="1" noThreeD="1"/>
</file>

<file path=xl/ctrlProps/ctrlProp605.xml><?xml version="1.0" encoding="utf-8"?>
<formControlPr xmlns="http://schemas.microsoft.com/office/spreadsheetml/2009/9/main" objectType="CheckBox" checked="Checked" fmlaLink="$M$7" lockText="1" noThreeD="1"/>
</file>

<file path=xl/ctrlProps/ctrlProp606.xml><?xml version="1.0" encoding="utf-8"?>
<formControlPr xmlns="http://schemas.microsoft.com/office/spreadsheetml/2009/9/main" objectType="CheckBox" checked="Checked" fmlaLink="$M$6" lockText="1" noThreeD="1"/>
</file>

<file path=xl/ctrlProps/ctrlProp607.xml><?xml version="1.0" encoding="utf-8"?>
<formControlPr xmlns="http://schemas.microsoft.com/office/spreadsheetml/2009/9/main" objectType="CheckBox" checked="Checked" fmlaLink="$O$7" lockText="1" noThreeD="1"/>
</file>

<file path=xl/ctrlProps/ctrlProp608.xml><?xml version="1.0" encoding="utf-8"?>
<formControlPr xmlns="http://schemas.microsoft.com/office/spreadsheetml/2009/9/main" objectType="CheckBox" checked="Checked" fmlaLink="$O$8" lockText="1" noThreeD="1"/>
</file>

<file path=xl/ctrlProps/ctrlProp609.xml><?xml version="1.0" encoding="utf-8"?>
<formControlPr xmlns="http://schemas.microsoft.com/office/spreadsheetml/2009/9/main" objectType="CheckBox" checked="Checked" fmlaLink="$O$9" lockText="1" noThreeD="1"/>
</file>

<file path=xl/ctrlProps/ctrlProp610.xml><?xml version="1.0" encoding="utf-8"?>
<formControlPr xmlns="http://schemas.microsoft.com/office/spreadsheetml/2009/9/main" objectType="CheckBox" checked="Checked" fmlaLink="$O$10" lockText="1" noThreeD="1"/>
</file>

<file path=xl/ctrlProps/ctrlProp611.xml><?xml version="1.0" encoding="utf-8"?>
<formControlPr xmlns="http://schemas.microsoft.com/office/spreadsheetml/2009/9/main" objectType="CheckBox" checked="Checked" fmlaLink="$O$12" lockText="1" noThreeD="1"/>
</file>

<file path=xl/ctrlProps/ctrlProp612.xml><?xml version="1.0" encoding="utf-8"?>
<formControlPr xmlns="http://schemas.microsoft.com/office/spreadsheetml/2009/9/main" objectType="CheckBox" checked="Checked" fmlaLink="$O$13" lockText="1" noThreeD="1"/>
</file>

<file path=xl/ctrlProps/ctrlProp613.xml><?xml version="1.0" encoding="utf-8"?>
<formControlPr xmlns="http://schemas.microsoft.com/office/spreadsheetml/2009/9/main" objectType="CheckBox" checked="Checked" fmlaLink="$O$14" lockText="1" noThreeD="1"/>
</file>

<file path=xl/ctrlProps/ctrlProp614.xml><?xml version="1.0" encoding="utf-8"?>
<formControlPr xmlns="http://schemas.microsoft.com/office/spreadsheetml/2009/9/main" objectType="CheckBox" checked="Checked" fmlaLink="$O$15" lockText="1" noThreeD="1"/>
</file>

<file path=xl/ctrlProps/ctrlProp615.xml><?xml version="1.0" encoding="utf-8"?>
<formControlPr xmlns="http://schemas.microsoft.com/office/spreadsheetml/2009/9/main" objectType="CheckBox" checked="Checked" fmlaLink="$O$16" lockText="1" noThreeD="1"/>
</file>

<file path=xl/ctrlProps/ctrlProp616.xml><?xml version="1.0" encoding="utf-8"?>
<formControlPr xmlns="http://schemas.microsoft.com/office/spreadsheetml/2009/9/main" objectType="CheckBox" checked="Checked" fmlaLink="$O$17" lockText="1" noThreeD="1"/>
</file>

<file path=xl/ctrlProps/ctrlProp617.xml><?xml version="1.0" encoding="utf-8"?>
<formControlPr xmlns="http://schemas.microsoft.com/office/spreadsheetml/2009/9/main" objectType="CheckBox" checked="Checked" fmlaLink="$O$18" lockText="1" noThreeD="1"/>
</file>

<file path=xl/ctrlProps/ctrlProp618.xml><?xml version="1.0" encoding="utf-8"?>
<formControlPr xmlns="http://schemas.microsoft.com/office/spreadsheetml/2009/9/main" objectType="CheckBox" checked="Checked" fmlaLink="$O$19" lockText="1" noThreeD="1"/>
</file>

<file path=xl/ctrlProps/ctrlProp619.xml><?xml version="1.0" encoding="utf-8"?>
<formControlPr xmlns="http://schemas.microsoft.com/office/spreadsheetml/2009/9/main" objectType="CheckBox" checked="Checked" fmlaLink="$O$20" lockText="1" noThreeD="1"/>
</file>

<file path=xl/ctrlProps/ctrlProp620.xml><?xml version="1.0" encoding="utf-8"?>
<formControlPr xmlns="http://schemas.microsoft.com/office/spreadsheetml/2009/9/main" objectType="CheckBox" checked="Checked" fmlaLink="$O$21" lockText="1" noThreeD="1"/>
</file>

<file path=xl/ctrlProps/ctrlProp621.xml><?xml version="1.0" encoding="utf-8"?>
<formControlPr xmlns="http://schemas.microsoft.com/office/spreadsheetml/2009/9/main" objectType="CheckBox" checked="Checked" fmlaLink="$O$22" lockText="1" noThreeD="1"/>
</file>

<file path=xl/ctrlProps/ctrlProp622.xml><?xml version="1.0" encoding="utf-8"?>
<formControlPr xmlns="http://schemas.microsoft.com/office/spreadsheetml/2009/9/main" objectType="CheckBox" checked="Checked" fmlaLink="$O$23" lockText="1" noThreeD="1"/>
</file>

<file path=xl/ctrlProps/ctrlProp623.xml><?xml version="1.0" encoding="utf-8"?>
<formControlPr xmlns="http://schemas.microsoft.com/office/spreadsheetml/2009/9/main" objectType="CheckBox" checked="Checked" fmlaLink="$O$24" lockText="1" noThreeD="1"/>
</file>

<file path=xl/ctrlProps/ctrlProp624.xml><?xml version="1.0" encoding="utf-8"?>
<formControlPr xmlns="http://schemas.microsoft.com/office/spreadsheetml/2009/9/main" objectType="CheckBox" checked="Checked" fmlaLink="$O$25" lockText="1" noThreeD="1"/>
</file>

<file path=xl/ctrlProps/ctrlProp625.xml><?xml version="1.0" encoding="utf-8"?>
<formControlPr xmlns="http://schemas.microsoft.com/office/spreadsheetml/2009/9/main" objectType="CheckBox" checked="Checked" fmlaLink="$O$26" lockText="1" noThreeD="1"/>
</file>

<file path=xl/ctrlProps/ctrlProp626.xml><?xml version="1.0" encoding="utf-8"?>
<formControlPr xmlns="http://schemas.microsoft.com/office/spreadsheetml/2009/9/main" objectType="CheckBox" checked="Checked" fmlaLink="$O$27" lockText="1" noThreeD="1"/>
</file>

<file path=xl/ctrlProps/ctrlProp627.xml><?xml version="1.0" encoding="utf-8"?>
<formControlPr xmlns="http://schemas.microsoft.com/office/spreadsheetml/2009/9/main" objectType="CheckBox" checked="Checked" fmlaLink="$O$6" lockText="1" noThreeD="1"/>
</file>

<file path=xl/ctrlProps/ctrlProp628.xml><?xml version="1.0" encoding="utf-8"?>
<formControlPr xmlns="http://schemas.microsoft.com/office/spreadsheetml/2009/9/main" objectType="CheckBox" checked="Checked" fmlaLink="$O$5" lockText="1" noThreeD="1"/>
</file>

<file path=xl/ctrlProps/ctrlProp629.xml><?xml version="1.0" encoding="utf-8"?>
<formControlPr xmlns="http://schemas.microsoft.com/office/spreadsheetml/2009/9/main" objectType="CheckBox" checked="Checked" fmlaLink="$P$5" lockText="1" noThreeD="1"/>
</file>

<file path=xl/ctrlProps/ctrlProp630.xml><?xml version="1.0" encoding="utf-8"?>
<formControlPr xmlns="http://schemas.microsoft.com/office/spreadsheetml/2009/9/main" objectType="CheckBox" checked="Checked" fmlaLink="$M$5" lockText="1" noThreeD="1"/>
</file>

<file path=xl/ctrlProps/ctrlProp631.xml><?xml version="1.0" encoding="utf-8"?>
<formControlPr xmlns="http://schemas.microsoft.com/office/spreadsheetml/2009/9/main" objectType="CheckBox" checked="Checked" fmlaLink="$O$11" lockText="1" noThreeD="1"/>
</file>

<file path=xl/ctrlProps/ctrlProp632.xml><?xml version="1.0" encoding="utf-8"?>
<formControlPr xmlns="http://schemas.microsoft.com/office/spreadsheetml/2009/9/main" objectType="CheckBox" checked="Checked" fmlaLink="$M$28" lockText="1" noThreeD="1"/>
</file>

<file path=xl/ctrlProps/ctrlProp633.xml><?xml version="1.0" encoding="utf-8"?>
<formControlPr xmlns="http://schemas.microsoft.com/office/spreadsheetml/2009/9/main" objectType="CheckBox" checked="Checked" fmlaLink="$M$29" lockText="1" noThreeD="1"/>
</file>

<file path=xl/ctrlProps/ctrlProp634.xml><?xml version="1.0" encoding="utf-8"?>
<formControlPr xmlns="http://schemas.microsoft.com/office/spreadsheetml/2009/9/main" objectType="CheckBox" checked="Checked" fmlaLink="$M$30" lockText="1" noThreeD="1"/>
</file>

<file path=xl/ctrlProps/ctrlProp635.xml><?xml version="1.0" encoding="utf-8"?>
<formControlPr xmlns="http://schemas.microsoft.com/office/spreadsheetml/2009/9/main" objectType="CheckBox" checked="Checked" fmlaLink="$M$31" lockText="1" noThreeD="1"/>
</file>

<file path=xl/ctrlProps/ctrlProp636.xml><?xml version="1.0" encoding="utf-8"?>
<formControlPr xmlns="http://schemas.microsoft.com/office/spreadsheetml/2009/9/main" objectType="CheckBox" checked="Checked" fmlaLink="$M$32" lockText="1" noThreeD="1"/>
</file>

<file path=xl/ctrlProps/ctrlProp637.xml><?xml version="1.0" encoding="utf-8"?>
<formControlPr xmlns="http://schemas.microsoft.com/office/spreadsheetml/2009/9/main" objectType="CheckBox" checked="Checked" fmlaLink="$M$33" lockText="1" noThreeD="1"/>
</file>

<file path=xl/ctrlProps/ctrlProp638.xml><?xml version="1.0" encoding="utf-8"?>
<formControlPr xmlns="http://schemas.microsoft.com/office/spreadsheetml/2009/9/main" objectType="CheckBox" checked="Checked" fmlaLink="$M$34" lockText="1" noThreeD="1"/>
</file>

<file path=xl/ctrlProps/ctrlProp639.xml><?xml version="1.0" encoding="utf-8"?>
<formControlPr xmlns="http://schemas.microsoft.com/office/spreadsheetml/2009/9/main" objectType="CheckBox" checked="Checked" fmlaLink="$O$28" lockText="1" noThreeD="1"/>
</file>

<file path=xl/ctrlProps/ctrlProp640.xml><?xml version="1.0" encoding="utf-8"?>
<formControlPr xmlns="http://schemas.microsoft.com/office/spreadsheetml/2009/9/main" objectType="CheckBox" checked="Checked" fmlaLink="$O$29" lockText="1" noThreeD="1"/>
</file>

<file path=xl/ctrlProps/ctrlProp641.xml><?xml version="1.0" encoding="utf-8"?>
<formControlPr xmlns="http://schemas.microsoft.com/office/spreadsheetml/2009/9/main" objectType="CheckBox" checked="Checked" fmlaLink="$O$30" lockText="1" noThreeD="1"/>
</file>

<file path=xl/ctrlProps/ctrlProp642.xml><?xml version="1.0" encoding="utf-8"?>
<formControlPr xmlns="http://schemas.microsoft.com/office/spreadsheetml/2009/9/main" objectType="CheckBox" checked="Checked" fmlaLink="$O$31" lockText="1" noThreeD="1"/>
</file>

<file path=xl/ctrlProps/ctrlProp643.xml><?xml version="1.0" encoding="utf-8"?>
<formControlPr xmlns="http://schemas.microsoft.com/office/spreadsheetml/2009/9/main" objectType="CheckBox" checked="Checked" fmlaLink="$O$32" lockText="1" noThreeD="1"/>
</file>

<file path=xl/ctrlProps/ctrlProp644.xml><?xml version="1.0" encoding="utf-8"?>
<formControlPr xmlns="http://schemas.microsoft.com/office/spreadsheetml/2009/9/main" objectType="CheckBox" checked="Checked" fmlaLink="$O$33" lockText="1" noThreeD="1"/>
</file>

<file path=xl/ctrlProps/ctrlProp645.xml><?xml version="1.0" encoding="utf-8"?>
<formControlPr xmlns="http://schemas.microsoft.com/office/spreadsheetml/2009/9/main" objectType="CheckBox" checked="Checked" fmlaLink="$O$34" lockText="1" noThreeD="1"/>
</file>

<file path=xl/ctrlProps/ctrlProp646.xml><?xml version="1.0" encoding="utf-8"?>
<formControlPr xmlns="http://schemas.microsoft.com/office/spreadsheetml/2009/9/main" objectType="CheckBox" checked="Checked" fmlaLink="$M$35" lockText="1" noThreeD="1"/>
</file>

<file path=xl/ctrlProps/ctrlProp647.xml><?xml version="1.0" encoding="utf-8"?>
<formControlPr xmlns="http://schemas.microsoft.com/office/spreadsheetml/2009/9/main" objectType="CheckBox" checked="Checked" fmlaLink="$O$35" lockText="1" noThreeD="1"/>
</file>

<file path=xl/ctrlProps/ctrlProp648.xml><?xml version="1.0" encoding="utf-8"?>
<formControlPr xmlns="http://schemas.microsoft.com/office/spreadsheetml/2009/9/main" objectType="CheckBox" checked="Checked" fmlaLink="$P$6" lockText="1" noThreeD="1"/>
</file>

<file path=xl/ctrlProps/ctrlProp649.xml><?xml version="1.0" encoding="utf-8"?>
<formControlPr xmlns="http://schemas.microsoft.com/office/spreadsheetml/2009/9/main" objectType="CheckBox" checked="Checked" fmlaLink="$P$7" lockText="1" noThreeD="1"/>
</file>

<file path=xl/ctrlProps/ctrlProp650.xml><?xml version="1.0" encoding="utf-8"?>
<formControlPr xmlns="http://schemas.microsoft.com/office/spreadsheetml/2009/9/main" objectType="CheckBox" checked="Checked" fmlaLink="$P$8" lockText="1" noThreeD="1"/>
</file>

<file path=xl/ctrlProps/ctrlProp651.xml><?xml version="1.0" encoding="utf-8"?>
<formControlPr xmlns="http://schemas.microsoft.com/office/spreadsheetml/2009/9/main" objectType="CheckBox" checked="Checked" fmlaLink="$P$9" lockText="1" noThreeD="1"/>
</file>

<file path=xl/ctrlProps/ctrlProp652.xml><?xml version="1.0" encoding="utf-8"?>
<formControlPr xmlns="http://schemas.microsoft.com/office/spreadsheetml/2009/9/main" objectType="CheckBox" checked="Checked" fmlaLink="$P$10" lockText="1" noThreeD="1"/>
</file>

<file path=xl/ctrlProps/ctrlProp653.xml><?xml version="1.0" encoding="utf-8"?>
<formControlPr xmlns="http://schemas.microsoft.com/office/spreadsheetml/2009/9/main" objectType="CheckBox" checked="Checked" fmlaLink="$P$11" lockText="1" noThreeD="1"/>
</file>

<file path=xl/ctrlProps/ctrlProp654.xml><?xml version="1.0" encoding="utf-8"?>
<formControlPr xmlns="http://schemas.microsoft.com/office/spreadsheetml/2009/9/main" objectType="CheckBox" checked="Checked" fmlaLink="$P$12" lockText="1" noThreeD="1"/>
</file>

<file path=xl/ctrlProps/ctrlProp655.xml><?xml version="1.0" encoding="utf-8"?>
<formControlPr xmlns="http://schemas.microsoft.com/office/spreadsheetml/2009/9/main" objectType="CheckBox" checked="Checked" fmlaLink="$P$13" lockText="1" noThreeD="1"/>
</file>

<file path=xl/ctrlProps/ctrlProp656.xml><?xml version="1.0" encoding="utf-8"?>
<formControlPr xmlns="http://schemas.microsoft.com/office/spreadsheetml/2009/9/main" objectType="CheckBox" checked="Checked" fmlaLink="$P$14" lockText="1" noThreeD="1"/>
</file>

<file path=xl/ctrlProps/ctrlProp657.xml><?xml version="1.0" encoding="utf-8"?>
<formControlPr xmlns="http://schemas.microsoft.com/office/spreadsheetml/2009/9/main" objectType="CheckBox" checked="Checked" fmlaLink="$P$15" lockText="1" noThreeD="1"/>
</file>

<file path=xl/ctrlProps/ctrlProp658.xml><?xml version="1.0" encoding="utf-8"?>
<formControlPr xmlns="http://schemas.microsoft.com/office/spreadsheetml/2009/9/main" objectType="CheckBox" checked="Checked" fmlaLink="$P$16" lockText="1" noThreeD="1"/>
</file>

<file path=xl/ctrlProps/ctrlProp659.xml><?xml version="1.0" encoding="utf-8"?>
<formControlPr xmlns="http://schemas.microsoft.com/office/spreadsheetml/2009/9/main" objectType="CheckBox" checked="Checked" fmlaLink="$P$17" lockText="1" noThreeD="1"/>
</file>

<file path=xl/ctrlProps/ctrlProp660.xml><?xml version="1.0" encoding="utf-8"?>
<formControlPr xmlns="http://schemas.microsoft.com/office/spreadsheetml/2009/9/main" objectType="CheckBox" checked="Checked" fmlaLink="$P$18" lockText="1" noThreeD="1"/>
</file>

<file path=xl/ctrlProps/ctrlProp661.xml><?xml version="1.0" encoding="utf-8"?>
<formControlPr xmlns="http://schemas.microsoft.com/office/spreadsheetml/2009/9/main" objectType="CheckBox" checked="Checked" fmlaLink="$P$19" lockText="1" noThreeD="1"/>
</file>

<file path=xl/ctrlProps/ctrlProp662.xml><?xml version="1.0" encoding="utf-8"?>
<formControlPr xmlns="http://schemas.microsoft.com/office/spreadsheetml/2009/9/main" objectType="CheckBox" checked="Checked" fmlaLink="$P$20" lockText="1" noThreeD="1"/>
</file>

<file path=xl/ctrlProps/ctrlProp663.xml><?xml version="1.0" encoding="utf-8"?>
<formControlPr xmlns="http://schemas.microsoft.com/office/spreadsheetml/2009/9/main" objectType="CheckBox" checked="Checked" fmlaLink="$P$21" lockText="1" noThreeD="1"/>
</file>

<file path=xl/ctrlProps/ctrlProp664.xml><?xml version="1.0" encoding="utf-8"?>
<formControlPr xmlns="http://schemas.microsoft.com/office/spreadsheetml/2009/9/main" objectType="CheckBox" checked="Checked" fmlaLink="$P$22" lockText="1" noThreeD="1"/>
</file>

<file path=xl/ctrlProps/ctrlProp665.xml><?xml version="1.0" encoding="utf-8"?>
<formControlPr xmlns="http://schemas.microsoft.com/office/spreadsheetml/2009/9/main" objectType="CheckBox" checked="Checked" fmlaLink="$P$23" lockText="1" noThreeD="1"/>
</file>

<file path=xl/ctrlProps/ctrlProp666.xml><?xml version="1.0" encoding="utf-8"?>
<formControlPr xmlns="http://schemas.microsoft.com/office/spreadsheetml/2009/9/main" objectType="CheckBox" checked="Checked" fmlaLink="$P$24" lockText="1" noThreeD="1"/>
</file>

<file path=xl/ctrlProps/ctrlProp667.xml><?xml version="1.0" encoding="utf-8"?>
<formControlPr xmlns="http://schemas.microsoft.com/office/spreadsheetml/2009/9/main" objectType="CheckBox" checked="Checked" fmlaLink="$P$25" lockText="1" noThreeD="1"/>
</file>

<file path=xl/ctrlProps/ctrlProp668.xml><?xml version="1.0" encoding="utf-8"?>
<formControlPr xmlns="http://schemas.microsoft.com/office/spreadsheetml/2009/9/main" objectType="CheckBox" checked="Checked" fmlaLink="$P$26" lockText="1" noThreeD="1"/>
</file>

<file path=xl/ctrlProps/ctrlProp669.xml><?xml version="1.0" encoding="utf-8"?>
<formControlPr xmlns="http://schemas.microsoft.com/office/spreadsheetml/2009/9/main" objectType="CheckBox" checked="Checked" fmlaLink="$P$27" lockText="1" noThreeD="1"/>
</file>

<file path=xl/ctrlProps/ctrlProp670.xml><?xml version="1.0" encoding="utf-8"?>
<formControlPr xmlns="http://schemas.microsoft.com/office/spreadsheetml/2009/9/main" objectType="CheckBox" checked="Checked" fmlaLink="$P$28" lockText="1" noThreeD="1"/>
</file>

<file path=xl/ctrlProps/ctrlProp671.xml><?xml version="1.0" encoding="utf-8"?>
<formControlPr xmlns="http://schemas.microsoft.com/office/spreadsheetml/2009/9/main" objectType="CheckBox" checked="Checked" fmlaLink="$P$29" lockText="1" noThreeD="1"/>
</file>

<file path=xl/ctrlProps/ctrlProp672.xml><?xml version="1.0" encoding="utf-8"?>
<formControlPr xmlns="http://schemas.microsoft.com/office/spreadsheetml/2009/9/main" objectType="CheckBox" checked="Checked" fmlaLink="$P$30" lockText="1" noThreeD="1"/>
</file>

<file path=xl/ctrlProps/ctrlProp673.xml><?xml version="1.0" encoding="utf-8"?>
<formControlPr xmlns="http://schemas.microsoft.com/office/spreadsheetml/2009/9/main" objectType="CheckBox" checked="Checked" fmlaLink="$P$31" lockText="1" noThreeD="1"/>
</file>

<file path=xl/ctrlProps/ctrlProp674.xml><?xml version="1.0" encoding="utf-8"?>
<formControlPr xmlns="http://schemas.microsoft.com/office/spreadsheetml/2009/9/main" objectType="CheckBox" checked="Checked" fmlaLink="$P$32" lockText="1" noThreeD="1"/>
</file>

<file path=xl/ctrlProps/ctrlProp675.xml><?xml version="1.0" encoding="utf-8"?>
<formControlPr xmlns="http://schemas.microsoft.com/office/spreadsheetml/2009/9/main" objectType="CheckBox" checked="Checked" fmlaLink="$P$33" lockText="1" noThreeD="1"/>
</file>

<file path=xl/ctrlProps/ctrlProp676.xml><?xml version="1.0" encoding="utf-8"?>
<formControlPr xmlns="http://schemas.microsoft.com/office/spreadsheetml/2009/9/main" objectType="CheckBox" checked="Checked" fmlaLink="$P$34" lockText="1" noThreeD="1"/>
</file>

<file path=xl/ctrlProps/ctrlProp677.xml><?xml version="1.0" encoding="utf-8"?>
<formControlPr xmlns="http://schemas.microsoft.com/office/spreadsheetml/2009/9/main" objectType="CheckBox" checked="Checked" fmlaLink="$P$35" lockText="1" noThreeD="1"/>
</file>

<file path=xl/ctrlProps/ctrlProp678.xml><?xml version="1.0" encoding="utf-8"?>
<formControlPr xmlns="http://schemas.microsoft.com/office/spreadsheetml/2009/9/main" objectType="CheckBox" checked="Checked" fmlaLink="$N$8" lockText="1" noThreeD="1"/>
</file>

<file path=xl/ctrlProps/ctrlProp679.xml><?xml version="1.0" encoding="utf-8"?>
<formControlPr xmlns="http://schemas.microsoft.com/office/spreadsheetml/2009/9/main" objectType="CheckBox" checked="Checked" fmlaLink="$N$9" lockText="1" noThreeD="1"/>
</file>

<file path=xl/ctrlProps/ctrlProp680.xml><?xml version="1.0" encoding="utf-8"?>
<formControlPr xmlns="http://schemas.microsoft.com/office/spreadsheetml/2009/9/main" objectType="CheckBox" checked="Checked" fmlaLink="$N$10" lockText="1" noThreeD="1"/>
</file>

<file path=xl/ctrlProps/ctrlProp681.xml><?xml version="1.0" encoding="utf-8"?>
<formControlPr xmlns="http://schemas.microsoft.com/office/spreadsheetml/2009/9/main" objectType="CheckBox" checked="Checked" fmlaLink="$N$11" lockText="1" noThreeD="1"/>
</file>

<file path=xl/ctrlProps/ctrlProp682.xml><?xml version="1.0" encoding="utf-8"?>
<formControlPr xmlns="http://schemas.microsoft.com/office/spreadsheetml/2009/9/main" objectType="CheckBox" checked="Checked" fmlaLink="$N$12" lockText="1" noThreeD="1"/>
</file>

<file path=xl/ctrlProps/ctrlProp683.xml><?xml version="1.0" encoding="utf-8"?>
<formControlPr xmlns="http://schemas.microsoft.com/office/spreadsheetml/2009/9/main" objectType="CheckBox" checked="Checked" fmlaLink="$N$13" lockText="1" noThreeD="1"/>
</file>

<file path=xl/ctrlProps/ctrlProp684.xml><?xml version="1.0" encoding="utf-8"?>
<formControlPr xmlns="http://schemas.microsoft.com/office/spreadsheetml/2009/9/main" objectType="CheckBox" checked="Checked" fmlaLink="$N$14" lockText="1" noThreeD="1"/>
</file>

<file path=xl/ctrlProps/ctrlProp685.xml><?xml version="1.0" encoding="utf-8"?>
<formControlPr xmlns="http://schemas.microsoft.com/office/spreadsheetml/2009/9/main" objectType="CheckBox" checked="Checked" fmlaLink="$N$15" lockText="1" noThreeD="1"/>
</file>

<file path=xl/ctrlProps/ctrlProp686.xml><?xml version="1.0" encoding="utf-8"?>
<formControlPr xmlns="http://schemas.microsoft.com/office/spreadsheetml/2009/9/main" objectType="CheckBox" checked="Checked" fmlaLink="$N$16" lockText="1" noThreeD="1"/>
</file>

<file path=xl/ctrlProps/ctrlProp687.xml><?xml version="1.0" encoding="utf-8"?>
<formControlPr xmlns="http://schemas.microsoft.com/office/spreadsheetml/2009/9/main" objectType="CheckBox" checked="Checked" fmlaLink="$N$17" lockText="1" noThreeD="1"/>
</file>

<file path=xl/ctrlProps/ctrlProp688.xml><?xml version="1.0" encoding="utf-8"?>
<formControlPr xmlns="http://schemas.microsoft.com/office/spreadsheetml/2009/9/main" objectType="CheckBox" checked="Checked" fmlaLink="$N$18" lockText="1" noThreeD="1"/>
</file>

<file path=xl/ctrlProps/ctrlProp689.xml><?xml version="1.0" encoding="utf-8"?>
<formControlPr xmlns="http://schemas.microsoft.com/office/spreadsheetml/2009/9/main" objectType="CheckBox" checked="Checked" fmlaLink="$N$19" lockText="1" noThreeD="1"/>
</file>

<file path=xl/ctrlProps/ctrlProp690.xml><?xml version="1.0" encoding="utf-8"?>
<formControlPr xmlns="http://schemas.microsoft.com/office/spreadsheetml/2009/9/main" objectType="CheckBox" checked="Checked" fmlaLink="$N$20" lockText="1" noThreeD="1"/>
</file>

<file path=xl/ctrlProps/ctrlProp691.xml><?xml version="1.0" encoding="utf-8"?>
<formControlPr xmlns="http://schemas.microsoft.com/office/spreadsheetml/2009/9/main" objectType="CheckBox" checked="Checked" fmlaLink="$N$21" lockText="1" noThreeD="1"/>
</file>

<file path=xl/ctrlProps/ctrlProp692.xml><?xml version="1.0" encoding="utf-8"?>
<formControlPr xmlns="http://schemas.microsoft.com/office/spreadsheetml/2009/9/main" objectType="CheckBox" checked="Checked" fmlaLink="$N$22" lockText="1" noThreeD="1"/>
</file>

<file path=xl/ctrlProps/ctrlProp693.xml><?xml version="1.0" encoding="utf-8"?>
<formControlPr xmlns="http://schemas.microsoft.com/office/spreadsheetml/2009/9/main" objectType="CheckBox" checked="Checked" fmlaLink="$N$23" lockText="1" noThreeD="1"/>
</file>

<file path=xl/ctrlProps/ctrlProp694.xml><?xml version="1.0" encoding="utf-8"?>
<formControlPr xmlns="http://schemas.microsoft.com/office/spreadsheetml/2009/9/main" objectType="CheckBox" checked="Checked" fmlaLink="$N$24" lockText="1" noThreeD="1"/>
</file>

<file path=xl/ctrlProps/ctrlProp695.xml><?xml version="1.0" encoding="utf-8"?>
<formControlPr xmlns="http://schemas.microsoft.com/office/spreadsheetml/2009/9/main" objectType="CheckBox" checked="Checked" fmlaLink="$N$25" lockText="1" noThreeD="1"/>
</file>

<file path=xl/ctrlProps/ctrlProp696.xml><?xml version="1.0" encoding="utf-8"?>
<formControlPr xmlns="http://schemas.microsoft.com/office/spreadsheetml/2009/9/main" objectType="CheckBox" checked="Checked" fmlaLink="$N$26" lockText="1" noThreeD="1"/>
</file>

<file path=xl/ctrlProps/ctrlProp697.xml><?xml version="1.0" encoding="utf-8"?>
<formControlPr xmlns="http://schemas.microsoft.com/office/spreadsheetml/2009/9/main" objectType="CheckBox" checked="Checked" fmlaLink="$N$27" lockText="1" noThreeD="1"/>
</file>

<file path=xl/ctrlProps/ctrlProp698.xml><?xml version="1.0" encoding="utf-8"?>
<formControlPr xmlns="http://schemas.microsoft.com/office/spreadsheetml/2009/9/main" objectType="CheckBox" checked="Checked" fmlaLink="$N$7" lockText="1" noThreeD="1"/>
</file>

<file path=xl/ctrlProps/ctrlProp699.xml><?xml version="1.0" encoding="utf-8"?>
<formControlPr xmlns="http://schemas.microsoft.com/office/spreadsheetml/2009/9/main" objectType="CheckBox" checked="Checked" fmlaLink="$N$6" lockText="1" noThreeD="1"/>
</file>

<file path=xl/ctrlProps/ctrlProp700.xml><?xml version="1.0" encoding="utf-8"?>
<formControlPr xmlns="http://schemas.microsoft.com/office/spreadsheetml/2009/9/main" objectType="CheckBox" checked="Checked" fmlaLink="$N$5" lockText="1" noThreeD="1"/>
</file>

<file path=xl/ctrlProps/ctrlProp701.xml><?xml version="1.0" encoding="utf-8"?>
<formControlPr xmlns="http://schemas.microsoft.com/office/spreadsheetml/2009/9/main" objectType="CheckBox" checked="Checked" fmlaLink="$N$28" lockText="1" noThreeD="1"/>
</file>

<file path=xl/ctrlProps/ctrlProp702.xml><?xml version="1.0" encoding="utf-8"?>
<formControlPr xmlns="http://schemas.microsoft.com/office/spreadsheetml/2009/9/main" objectType="CheckBox" checked="Checked" fmlaLink="$N$29" lockText="1" noThreeD="1"/>
</file>

<file path=xl/ctrlProps/ctrlProp703.xml><?xml version="1.0" encoding="utf-8"?>
<formControlPr xmlns="http://schemas.microsoft.com/office/spreadsheetml/2009/9/main" objectType="CheckBox" checked="Checked" fmlaLink="$N$30" lockText="1" noThreeD="1"/>
</file>

<file path=xl/ctrlProps/ctrlProp704.xml><?xml version="1.0" encoding="utf-8"?>
<formControlPr xmlns="http://schemas.microsoft.com/office/spreadsheetml/2009/9/main" objectType="CheckBox" checked="Checked" fmlaLink="$N$31" lockText="1" noThreeD="1"/>
</file>

<file path=xl/ctrlProps/ctrlProp705.xml><?xml version="1.0" encoding="utf-8"?>
<formControlPr xmlns="http://schemas.microsoft.com/office/spreadsheetml/2009/9/main" objectType="CheckBox" checked="Checked" fmlaLink="$N$32" lockText="1" noThreeD="1"/>
</file>

<file path=xl/ctrlProps/ctrlProp706.xml><?xml version="1.0" encoding="utf-8"?>
<formControlPr xmlns="http://schemas.microsoft.com/office/spreadsheetml/2009/9/main" objectType="CheckBox" checked="Checked" fmlaLink="$N$33" lockText="1" noThreeD="1"/>
</file>

<file path=xl/ctrlProps/ctrlProp707.xml><?xml version="1.0" encoding="utf-8"?>
<formControlPr xmlns="http://schemas.microsoft.com/office/spreadsheetml/2009/9/main" objectType="CheckBox" checked="Checked" fmlaLink="$N$34" lockText="1" noThreeD="1"/>
</file>

<file path=xl/ctrlProps/ctrlProp708.xml><?xml version="1.0" encoding="utf-8"?>
<formControlPr xmlns="http://schemas.microsoft.com/office/spreadsheetml/2009/9/main" objectType="CheckBox" checked="Checked" fmlaLink="$N$35" lockText="1" noThreeD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CheckBox" checked="Checked" fmlaLink="$L$8" lockText="1" noThreeD="1"/>
</file>

<file path=xl/ctrlProps/ctrlProp711.xml><?xml version="1.0" encoding="utf-8"?>
<formControlPr xmlns="http://schemas.microsoft.com/office/spreadsheetml/2009/9/main" objectType="CheckBox" checked="Checked" fmlaLink="$L$9" lockText="1" noThreeD="1"/>
</file>

<file path=xl/ctrlProps/ctrlProp712.xml><?xml version="1.0" encoding="utf-8"?>
<formControlPr xmlns="http://schemas.microsoft.com/office/spreadsheetml/2009/9/main" objectType="CheckBox" checked="Checked" fmlaLink="$L$10" lockText="1" noThreeD="1"/>
</file>

<file path=xl/ctrlProps/ctrlProp713.xml><?xml version="1.0" encoding="utf-8"?>
<formControlPr xmlns="http://schemas.microsoft.com/office/spreadsheetml/2009/9/main" objectType="CheckBox" checked="Checked" fmlaLink="$L$11" lockText="1" noThreeD="1"/>
</file>

<file path=xl/ctrlProps/ctrlProp714.xml><?xml version="1.0" encoding="utf-8"?>
<formControlPr xmlns="http://schemas.microsoft.com/office/spreadsheetml/2009/9/main" objectType="CheckBox" checked="Checked" fmlaLink="$L$12" lockText="1" noThreeD="1"/>
</file>

<file path=xl/ctrlProps/ctrlProp715.xml><?xml version="1.0" encoding="utf-8"?>
<formControlPr xmlns="http://schemas.microsoft.com/office/spreadsheetml/2009/9/main" objectType="CheckBox" checked="Checked" fmlaLink="$L$13" lockText="1" noThreeD="1"/>
</file>

<file path=xl/ctrlProps/ctrlProp716.xml><?xml version="1.0" encoding="utf-8"?>
<formControlPr xmlns="http://schemas.microsoft.com/office/spreadsheetml/2009/9/main" objectType="CheckBox" checked="Checked" fmlaLink="$L$14" lockText="1" noThreeD="1"/>
</file>

<file path=xl/ctrlProps/ctrlProp717.xml><?xml version="1.0" encoding="utf-8"?>
<formControlPr xmlns="http://schemas.microsoft.com/office/spreadsheetml/2009/9/main" objectType="CheckBox" checked="Checked" fmlaLink="$L$15" lockText="1" noThreeD="1"/>
</file>

<file path=xl/ctrlProps/ctrlProp718.xml><?xml version="1.0" encoding="utf-8"?>
<formControlPr xmlns="http://schemas.microsoft.com/office/spreadsheetml/2009/9/main" objectType="CheckBox" checked="Checked" fmlaLink="$L$16" lockText="1" noThreeD="1"/>
</file>

<file path=xl/ctrlProps/ctrlProp719.xml><?xml version="1.0" encoding="utf-8"?>
<formControlPr xmlns="http://schemas.microsoft.com/office/spreadsheetml/2009/9/main" objectType="CheckBox" checked="Checked" fmlaLink="$L$17" lockText="1" noThreeD="1"/>
</file>

<file path=xl/ctrlProps/ctrlProp720.xml><?xml version="1.0" encoding="utf-8"?>
<formControlPr xmlns="http://schemas.microsoft.com/office/spreadsheetml/2009/9/main" objectType="CheckBox" checked="Checked" fmlaLink="$L$18" lockText="1" noThreeD="1"/>
</file>

<file path=xl/ctrlProps/ctrlProp721.xml><?xml version="1.0" encoding="utf-8"?>
<formControlPr xmlns="http://schemas.microsoft.com/office/spreadsheetml/2009/9/main" objectType="CheckBox" checked="Checked" fmlaLink="$L$19" lockText="1" noThreeD="1"/>
</file>

<file path=xl/ctrlProps/ctrlProp722.xml><?xml version="1.0" encoding="utf-8"?>
<formControlPr xmlns="http://schemas.microsoft.com/office/spreadsheetml/2009/9/main" objectType="CheckBox" checked="Checked" fmlaLink="$L$20" lockText="1" noThreeD="1"/>
</file>

<file path=xl/ctrlProps/ctrlProp723.xml><?xml version="1.0" encoding="utf-8"?>
<formControlPr xmlns="http://schemas.microsoft.com/office/spreadsheetml/2009/9/main" objectType="CheckBox" checked="Checked" fmlaLink="$L$21" lockText="1" noThreeD="1"/>
</file>

<file path=xl/ctrlProps/ctrlProp724.xml><?xml version="1.0" encoding="utf-8"?>
<formControlPr xmlns="http://schemas.microsoft.com/office/spreadsheetml/2009/9/main" objectType="CheckBox" checked="Checked" fmlaLink="$L$22" lockText="1" noThreeD="1"/>
</file>

<file path=xl/ctrlProps/ctrlProp725.xml><?xml version="1.0" encoding="utf-8"?>
<formControlPr xmlns="http://schemas.microsoft.com/office/spreadsheetml/2009/9/main" objectType="CheckBox" checked="Checked" fmlaLink="$L$23" lockText="1" noThreeD="1"/>
</file>

<file path=xl/ctrlProps/ctrlProp726.xml><?xml version="1.0" encoding="utf-8"?>
<formControlPr xmlns="http://schemas.microsoft.com/office/spreadsheetml/2009/9/main" objectType="CheckBox" checked="Checked" fmlaLink="$L$24" lockText="1" noThreeD="1"/>
</file>

<file path=xl/ctrlProps/ctrlProp727.xml><?xml version="1.0" encoding="utf-8"?>
<formControlPr xmlns="http://schemas.microsoft.com/office/spreadsheetml/2009/9/main" objectType="CheckBox" checked="Checked" fmlaLink="$L$25" lockText="1" noThreeD="1"/>
</file>

<file path=xl/ctrlProps/ctrlProp728.xml><?xml version="1.0" encoding="utf-8"?>
<formControlPr xmlns="http://schemas.microsoft.com/office/spreadsheetml/2009/9/main" objectType="CheckBox" checked="Checked" fmlaLink="$L$26" lockText="1" noThreeD="1"/>
</file>

<file path=xl/ctrlProps/ctrlProp729.xml><?xml version="1.0" encoding="utf-8"?>
<formControlPr xmlns="http://schemas.microsoft.com/office/spreadsheetml/2009/9/main" objectType="CheckBox" checked="Checked" fmlaLink="$L$27" lockText="1" noThreeD="1"/>
</file>

<file path=xl/ctrlProps/ctrlProp730.xml><?xml version="1.0" encoding="utf-8"?>
<formControlPr xmlns="http://schemas.microsoft.com/office/spreadsheetml/2009/9/main" objectType="CheckBox" checked="Checked" fmlaLink="$L$7" lockText="1" noThreeD="1"/>
</file>

<file path=xl/ctrlProps/ctrlProp731.xml><?xml version="1.0" encoding="utf-8"?>
<formControlPr xmlns="http://schemas.microsoft.com/office/spreadsheetml/2009/9/main" objectType="CheckBox" checked="Checked" fmlaLink="$L$6" lockText="1" noThreeD="1"/>
</file>

<file path=xl/ctrlProps/ctrlProp732.xml><?xml version="1.0" encoding="utf-8"?>
<formControlPr xmlns="http://schemas.microsoft.com/office/spreadsheetml/2009/9/main" objectType="CheckBox" checked="Checked" fmlaLink="$M$7" lockText="1" noThreeD="1"/>
</file>

<file path=xl/ctrlProps/ctrlProp733.xml><?xml version="1.0" encoding="utf-8"?>
<formControlPr xmlns="http://schemas.microsoft.com/office/spreadsheetml/2009/9/main" objectType="CheckBox" checked="Checked" fmlaLink="$M$8" lockText="1" noThreeD="1"/>
</file>

<file path=xl/ctrlProps/ctrlProp734.xml><?xml version="1.0" encoding="utf-8"?>
<formControlPr xmlns="http://schemas.microsoft.com/office/spreadsheetml/2009/9/main" objectType="CheckBox" checked="Checked" fmlaLink="$M$9" lockText="1" noThreeD="1"/>
</file>

<file path=xl/ctrlProps/ctrlProp735.xml><?xml version="1.0" encoding="utf-8"?>
<formControlPr xmlns="http://schemas.microsoft.com/office/spreadsheetml/2009/9/main" objectType="CheckBox" checked="Checked" fmlaLink="$M$10" lockText="1" noThreeD="1"/>
</file>

<file path=xl/ctrlProps/ctrlProp736.xml><?xml version="1.0" encoding="utf-8"?>
<formControlPr xmlns="http://schemas.microsoft.com/office/spreadsheetml/2009/9/main" objectType="CheckBox" checked="Checked" fmlaLink="$M$12" lockText="1" noThreeD="1"/>
</file>

<file path=xl/ctrlProps/ctrlProp737.xml><?xml version="1.0" encoding="utf-8"?>
<formControlPr xmlns="http://schemas.microsoft.com/office/spreadsheetml/2009/9/main" objectType="CheckBox" checked="Checked" fmlaLink="$M$13" lockText="1" noThreeD="1"/>
</file>

<file path=xl/ctrlProps/ctrlProp738.xml><?xml version="1.0" encoding="utf-8"?>
<formControlPr xmlns="http://schemas.microsoft.com/office/spreadsheetml/2009/9/main" objectType="CheckBox" checked="Checked" fmlaLink="$M$14" lockText="1" noThreeD="1"/>
</file>

<file path=xl/ctrlProps/ctrlProp739.xml><?xml version="1.0" encoding="utf-8"?>
<formControlPr xmlns="http://schemas.microsoft.com/office/spreadsheetml/2009/9/main" objectType="CheckBox" checked="Checked" fmlaLink="$M$15" lockText="1" noThreeD="1"/>
</file>

<file path=xl/ctrlProps/ctrlProp740.xml><?xml version="1.0" encoding="utf-8"?>
<formControlPr xmlns="http://schemas.microsoft.com/office/spreadsheetml/2009/9/main" objectType="CheckBox" checked="Checked" fmlaLink="$M$16" lockText="1" noThreeD="1"/>
</file>

<file path=xl/ctrlProps/ctrlProp741.xml><?xml version="1.0" encoding="utf-8"?>
<formControlPr xmlns="http://schemas.microsoft.com/office/spreadsheetml/2009/9/main" objectType="CheckBox" checked="Checked" fmlaLink="$M$17" lockText="1" noThreeD="1"/>
</file>

<file path=xl/ctrlProps/ctrlProp742.xml><?xml version="1.0" encoding="utf-8"?>
<formControlPr xmlns="http://schemas.microsoft.com/office/spreadsheetml/2009/9/main" objectType="CheckBox" checked="Checked" fmlaLink="$M$18" lockText="1" noThreeD="1"/>
</file>

<file path=xl/ctrlProps/ctrlProp743.xml><?xml version="1.0" encoding="utf-8"?>
<formControlPr xmlns="http://schemas.microsoft.com/office/spreadsheetml/2009/9/main" objectType="CheckBox" checked="Checked" fmlaLink="$M$19" lockText="1" noThreeD="1"/>
</file>

<file path=xl/ctrlProps/ctrlProp744.xml><?xml version="1.0" encoding="utf-8"?>
<formControlPr xmlns="http://schemas.microsoft.com/office/spreadsheetml/2009/9/main" objectType="CheckBox" checked="Checked" fmlaLink="$M$20" lockText="1" noThreeD="1"/>
</file>

<file path=xl/ctrlProps/ctrlProp745.xml><?xml version="1.0" encoding="utf-8"?>
<formControlPr xmlns="http://schemas.microsoft.com/office/spreadsheetml/2009/9/main" objectType="CheckBox" checked="Checked" fmlaLink="$M$21" lockText="1" noThreeD="1"/>
</file>

<file path=xl/ctrlProps/ctrlProp746.xml><?xml version="1.0" encoding="utf-8"?>
<formControlPr xmlns="http://schemas.microsoft.com/office/spreadsheetml/2009/9/main" objectType="CheckBox" checked="Checked" fmlaLink="$M$22" lockText="1" noThreeD="1"/>
</file>

<file path=xl/ctrlProps/ctrlProp747.xml><?xml version="1.0" encoding="utf-8"?>
<formControlPr xmlns="http://schemas.microsoft.com/office/spreadsheetml/2009/9/main" objectType="CheckBox" checked="Checked" fmlaLink="$M$23" lockText="1" noThreeD="1"/>
</file>

<file path=xl/ctrlProps/ctrlProp748.xml><?xml version="1.0" encoding="utf-8"?>
<formControlPr xmlns="http://schemas.microsoft.com/office/spreadsheetml/2009/9/main" objectType="CheckBox" checked="Checked" fmlaLink="$M$24" lockText="1" noThreeD="1"/>
</file>

<file path=xl/ctrlProps/ctrlProp749.xml><?xml version="1.0" encoding="utf-8"?>
<formControlPr xmlns="http://schemas.microsoft.com/office/spreadsheetml/2009/9/main" objectType="CheckBox" checked="Checked" fmlaLink="$M$25" lockText="1" noThreeD="1"/>
</file>

<file path=xl/ctrlProps/ctrlProp750.xml><?xml version="1.0" encoding="utf-8"?>
<formControlPr xmlns="http://schemas.microsoft.com/office/spreadsheetml/2009/9/main" objectType="CheckBox" checked="Checked" fmlaLink="$M$26" lockText="1" noThreeD="1"/>
</file>

<file path=xl/ctrlProps/ctrlProp751.xml><?xml version="1.0" encoding="utf-8"?>
<formControlPr xmlns="http://schemas.microsoft.com/office/spreadsheetml/2009/9/main" objectType="CheckBox" checked="Checked" fmlaLink="$M$27" lockText="1" noThreeD="1"/>
</file>

<file path=xl/ctrlProps/ctrlProp752.xml><?xml version="1.0" encoding="utf-8"?>
<formControlPr xmlns="http://schemas.microsoft.com/office/spreadsheetml/2009/9/main" objectType="CheckBox" checked="Checked" fmlaLink="$M$6" lockText="1" noThreeD="1"/>
</file>

<file path=xl/ctrlProps/ctrlProp753.xml><?xml version="1.0" encoding="utf-8"?>
<formControlPr xmlns="http://schemas.microsoft.com/office/spreadsheetml/2009/9/main" objectType="CheckBox" checked="Checked" fmlaLink="$M$5" lockText="1" noThreeD="1"/>
</file>

<file path=xl/ctrlProps/ctrlProp754.xml><?xml version="1.0" encoding="utf-8"?>
<formControlPr xmlns="http://schemas.microsoft.com/office/spreadsheetml/2009/9/main" objectType="CheckBox" checked="Checked" fmlaLink="$L$5" lockText="1" noThreeD="1"/>
</file>

<file path=xl/ctrlProps/ctrlProp755.xml><?xml version="1.0" encoding="utf-8"?>
<formControlPr xmlns="http://schemas.microsoft.com/office/spreadsheetml/2009/9/main" objectType="CheckBox" checked="Checked" fmlaLink="$M$11" lockText="1" noThreeD="1"/>
</file>

<file path=xl/ctrlProps/ctrlProp756.xml><?xml version="1.0" encoding="utf-8"?>
<formControlPr xmlns="http://schemas.microsoft.com/office/spreadsheetml/2009/9/main" objectType="CheckBox" checked="Checked" fmlaLink="$L$28" lockText="1" noThreeD="1"/>
</file>

<file path=xl/ctrlProps/ctrlProp757.xml><?xml version="1.0" encoding="utf-8"?>
<formControlPr xmlns="http://schemas.microsoft.com/office/spreadsheetml/2009/9/main" objectType="CheckBox" checked="Checked" fmlaLink="$L$29" lockText="1" noThreeD="1"/>
</file>

<file path=xl/ctrlProps/ctrlProp758.xml><?xml version="1.0" encoding="utf-8"?>
<formControlPr xmlns="http://schemas.microsoft.com/office/spreadsheetml/2009/9/main" objectType="CheckBox" checked="Checked" fmlaLink="$L$30" lockText="1" noThreeD="1"/>
</file>

<file path=xl/ctrlProps/ctrlProp759.xml><?xml version="1.0" encoding="utf-8"?>
<formControlPr xmlns="http://schemas.microsoft.com/office/spreadsheetml/2009/9/main" objectType="CheckBox" checked="Checked" fmlaLink="$L$31" lockText="1" noThreeD="1"/>
</file>

<file path=xl/ctrlProps/ctrlProp760.xml><?xml version="1.0" encoding="utf-8"?>
<formControlPr xmlns="http://schemas.microsoft.com/office/spreadsheetml/2009/9/main" objectType="CheckBox" checked="Checked" fmlaLink="$L$32" lockText="1" noThreeD="1"/>
</file>

<file path=xl/ctrlProps/ctrlProp761.xml><?xml version="1.0" encoding="utf-8"?>
<formControlPr xmlns="http://schemas.microsoft.com/office/spreadsheetml/2009/9/main" objectType="CheckBox" checked="Checked" fmlaLink="$L$33" lockText="1" noThreeD="1"/>
</file>

<file path=xl/ctrlProps/ctrlProp762.xml><?xml version="1.0" encoding="utf-8"?>
<formControlPr xmlns="http://schemas.microsoft.com/office/spreadsheetml/2009/9/main" objectType="CheckBox" checked="Checked" fmlaLink="$L$34" lockText="1" noThreeD="1"/>
</file>

<file path=xl/ctrlProps/ctrlProp763.xml><?xml version="1.0" encoding="utf-8"?>
<formControlPr xmlns="http://schemas.microsoft.com/office/spreadsheetml/2009/9/main" objectType="CheckBox" checked="Checked" fmlaLink="$M$28" lockText="1" noThreeD="1"/>
</file>

<file path=xl/ctrlProps/ctrlProp764.xml><?xml version="1.0" encoding="utf-8"?>
<formControlPr xmlns="http://schemas.microsoft.com/office/spreadsheetml/2009/9/main" objectType="CheckBox" checked="Checked" fmlaLink="$M$29" lockText="1" noThreeD="1"/>
</file>

<file path=xl/ctrlProps/ctrlProp765.xml><?xml version="1.0" encoding="utf-8"?>
<formControlPr xmlns="http://schemas.microsoft.com/office/spreadsheetml/2009/9/main" objectType="CheckBox" checked="Checked" fmlaLink="$M$30" lockText="1" noThreeD="1"/>
</file>

<file path=xl/ctrlProps/ctrlProp766.xml><?xml version="1.0" encoding="utf-8"?>
<formControlPr xmlns="http://schemas.microsoft.com/office/spreadsheetml/2009/9/main" objectType="CheckBox" checked="Checked" fmlaLink="$M$31" lockText="1" noThreeD="1"/>
</file>

<file path=xl/ctrlProps/ctrlProp767.xml><?xml version="1.0" encoding="utf-8"?>
<formControlPr xmlns="http://schemas.microsoft.com/office/spreadsheetml/2009/9/main" objectType="CheckBox" checked="Checked" fmlaLink="$M$32" lockText="1" noThreeD="1"/>
</file>

<file path=xl/ctrlProps/ctrlProp768.xml><?xml version="1.0" encoding="utf-8"?>
<formControlPr xmlns="http://schemas.microsoft.com/office/spreadsheetml/2009/9/main" objectType="CheckBox" checked="Checked" fmlaLink="$M$33" lockText="1" noThreeD="1"/>
</file>

<file path=xl/ctrlProps/ctrlProp769.xml><?xml version="1.0" encoding="utf-8"?>
<formControlPr xmlns="http://schemas.microsoft.com/office/spreadsheetml/2009/9/main" objectType="CheckBox" checked="Checked" fmlaLink="$M$34" lockText="1" noThreeD="1"/>
</file>

<file path=xl/ctrlProps/ctrlProp770.xml><?xml version="1.0" encoding="utf-8"?>
<formControlPr xmlns="http://schemas.microsoft.com/office/spreadsheetml/2009/9/main" objectType="CheckBox" checked="Checked" fmlaLink="$L$35" lockText="1" noThreeD="1"/>
</file>

<file path=xl/ctrlProps/ctrlProp771.xml><?xml version="1.0" encoding="utf-8"?>
<formControlPr xmlns="http://schemas.microsoft.com/office/spreadsheetml/2009/9/main" objectType="CheckBox" checked="Checked" fmlaLink="$M$35" lockText="1" noThreeD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CheckBox" checked="Checked" fmlaLink="$L$8" lockText="1" noThreeD="1"/>
</file>

<file path=xl/ctrlProps/ctrlProp774.xml><?xml version="1.0" encoding="utf-8"?>
<formControlPr xmlns="http://schemas.microsoft.com/office/spreadsheetml/2009/9/main" objectType="CheckBox" checked="Checked" fmlaLink="$L$9" lockText="1" noThreeD="1"/>
</file>

<file path=xl/ctrlProps/ctrlProp775.xml><?xml version="1.0" encoding="utf-8"?>
<formControlPr xmlns="http://schemas.microsoft.com/office/spreadsheetml/2009/9/main" objectType="CheckBox" checked="Checked" fmlaLink="$L$10" lockText="1" noThreeD="1"/>
</file>

<file path=xl/ctrlProps/ctrlProp776.xml><?xml version="1.0" encoding="utf-8"?>
<formControlPr xmlns="http://schemas.microsoft.com/office/spreadsheetml/2009/9/main" objectType="CheckBox" checked="Checked" fmlaLink="$L$11" lockText="1" noThreeD="1"/>
</file>

<file path=xl/ctrlProps/ctrlProp777.xml><?xml version="1.0" encoding="utf-8"?>
<formControlPr xmlns="http://schemas.microsoft.com/office/spreadsheetml/2009/9/main" objectType="CheckBox" checked="Checked" fmlaLink="$L$12" lockText="1" noThreeD="1"/>
</file>

<file path=xl/ctrlProps/ctrlProp778.xml><?xml version="1.0" encoding="utf-8"?>
<formControlPr xmlns="http://schemas.microsoft.com/office/spreadsheetml/2009/9/main" objectType="CheckBox" checked="Checked" fmlaLink="$L$13" lockText="1" noThreeD="1"/>
</file>

<file path=xl/ctrlProps/ctrlProp779.xml><?xml version="1.0" encoding="utf-8"?>
<formControlPr xmlns="http://schemas.microsoft.com/office/spreadsheetml/2009/9/main" objectType="CheckBox" checked="Checked" fmlaLink="$L$14" lockText="1" noThreeD="1"/>
</file>

<file path=xl/ctrlProps/ctrlProp780.xml><?xml version="1.0" encoding="utf-8"?>
<formControlPr xmlns="http://schemas.microsoft.com/office/spreadsheetml/2009/9/main" objectType="CheckBox" checked="Checked" fmlaLink="$L$15" lockText="1" noThreeD="1"/>
</file>

<file path=xl/ctrlProps/ctrlProp781.xml><?xml version="1.0" encoding="utf-8"?>
<formControlPr xmlns="http://schemas.microsoft.com/office/spreadsheetml/2009/9/main" objectType="CheckBox" checked="Checked" fmlaLink="$L$16" lockText="1" noThreeD="1"/>
</file>

<file path=xl/ctrlProps/ctrlProp782.xml><?xml version="1.0" encoding="utf-8"?>
<formControlPr xmlns="http://schemas.microsoft.com/office/spreadsheetml/2009/9/main" objectType="CheckBox" checked="Checked" fmlaLink="$L$17" lockText="1" noThreeD="1"/>
</file>

<file path=xl/ctrlProps/ctrlProp783.xml><?xml version="1.0" encoding="utf-8"?>
<formControlPr xmlns="http://schemas.microsoft.com/office/spreadsheetml/2009/9/main" objectType="CheckBox" checked="Checked" fmlaLink="$L$18" lockText="1" noThreeD="1"/>
</file>

<file path=xl/ctrlProps/ctrlProp784.xml><?xml version="1.0" encoding="utf-8"?>
<formControlPr xmlns="http://schemas.microsoft.com/office/spreadsheetml/2009/9/main" objectType="CheckBox" checked="Checked" fmlaLink="$L$19" lockText="1" noThreeD="1"/>
</file>

<file path=xl/ctrlProps/ctrlProp785.xml><?xml version="1.0" encoding="utf-8"?>
<formControlPr xmlns="http://schemas.microsoft.com/office/spreadsheetml/2009/9/main" objectType="CheckBox" checked="Checked" fmlaLink="$L$20" lockText="1" noThreeD="1"/>
</file>

<file path=xl/ctrlProps/ctrlProp786.xml><?xml version="1.0" encoding="utf-8"?>
<formControlPr xmlns="http://schemas.microsoft.com/office/spreadsheetml/2009/9/main" objectType="CheckBox" checked="Checked" fmlaLink="$L$21" lockText="1" noThreeD="1"/>
</file>

<file path=xl/ctrlProps/ctrlProp787.xml><?xml version="1.0" encoding="utf-8"?>
<formControlPr xmlns="http://schemas.microsoft.com/office/spreadsheetml/2009/9/main" objectType="CheckBox" checked="Checked" fmlaLink="$L$22" lockText="1" noThreeD="1"/>
</file>

<file path=xl/ctrlProps/ctrlProp788.xml><?xml version="1.0" encoding="utf-8"?>
<formControlPr xmlns="http://schemas.microsoft.com/office/spreadsheetml/2009/9/main" objectType="CheckBox" checked="Checked" fmlaLink="$L$23" lockText="1" noThreeD="1"/>
</file>

<file path=xl/ctrlProps/ctrlProp789.xml><?xml version="1.0" encoding="utf-8"?>
<formControlPr xmlns="http://schemas.microsoft.com/office/spreadsheetml/2009/9/main" objectType="CheckBox" checked="Checked" fmlaLink="$L$24" lockText="1" noThreeD="1"/>
</file>

<file path=xl/ctrlProps/ctrlProp790.xml><?xml version="1.0" encoding="utf-8"?>
<formControlPr xmlns="http://schemas.microsoft.com/office/spreadsheetml/2009/9/main" objectType="CheckBox" checked="Checked" fmlaLink="$L$25" lockText="1" noThreeD="1"/>
</file>

<file path=xl/ctrlProps/ctrlProp791.xml><?xml version="1.0" encoding="utf-8"?>
<formControlPr xmlns="http://schemas.microsoft.com/office/spreadsheetml/2009/9/main" objectType="CheckBox" checked="Checked" fmlaLink="$L$26" lockText="1" noThreeD="1"/>
</file>

<file path=xl/ctrlProps/ctrlProp792.xml><?xml version="1.0" encoding="utf-8"?>
<formControlPr xmlns="http://schemas.microsoft.com/office/spreadsheetml/2009/9/main" objectType="CheckBox" checked="Checked" fmlaLink="$L$27" lockText="1" noThreeD="1"/>
</file>

<file path=xl/ctrlProps/ctrlProp793.xml><?xml version="1.0" encoding="utf-8"?>
<formControlPr xmlns="http://schemas.microsoft.com/office/spreadsheetml/2009/9/main" objectType="CheckBox" checked="Checked" fmlaLink="$L$7" lockText="1" noThreeD="1"/>
</file>

<file path=xl/ctrlProps/ctrlProp794.xml><?xml version="1.0" encoding="utf-8"?>
<formControlPr xmlns="http://schemas.microsoft.com/office/spreadsheetml/2009/9/main" objectType="CheckBox" checked="Checked" fmlaLink="$L$6" lockText="1" noThreeD="1"/>
</file>

<file path=xl/ctrlProps/ctrlProp795.xml><?xml version="1.0" encoding="utf-8"?>
<formControlPr xmlns="http://schemas.microsoft.com/office/spreadsheetml/2009/9/main" objectType="CheckBox" checked="Checked" fmlaLink="$M$7" lockText="1" noThreeD="1"/>
</file>

<file path=xl/ctrlProps/ctrlProp796.xml><?xml version="1.0" encoding="utf-8"?>
<formControlPr xmlns="http://schemas.microsoft.com/office/spreadsheetml/2009/9/main" objectType="CheckBox" checked="Checked" fmlaLink="$M$8" lockText="1" noThreeD="1"/>
</file>

<file path=xl/ctrlProps/ctrlProp797.xml><?xml version="1.0" encoding="utf-8"?>
<formControlPr xmlns="http://schemas.microsoft.com/office/spreadsheetml/2009/9/main" objectType="CheckBox" checked="Checked" fmlaLink="$M$9" lockText="1" noThreeD="1"/>
</file>

<file path=xl/ctrlProps/ctrlProp798.xml><?xml version="1.0" encoding="utf-8"?>
<formControlPr xmlns="http://schemas.microsoft.com/office/spreadsheetml/2009/9/main" objectType="CheckBox" checked="Checked" fmlaLink="$M$10" lockText="1" noThreeD="1"/>
</file>

<file path=xl/ctrlProps/ctrlProp799.xml><?xml version="1.0" encoding="utf-8"?>
<formControlPr xmlns="http://schemas.microsoft.com/office/spreadsheetml/2009/9/main" objectType="CheckBox" checked="Checked" fmlaLink="$M$12" lockText="1" noThreeD="1"/>
</file>

<file path=xl/ctrlProps/ctrlProp800.xml><?xml version="1.0" encoding="utf-8"?>
<formControlPr xmlns="http://schemas.microsoft.com/office/spreadsheetml/2009/9/main" objectType="CheckBox" checked="Checked" fmlaLink="$M$13" lockText="1" noThreeD="1"/>
</file>

<file path=xl/ctrlProps/ctrlProp801.xml><?xml version="1.0" encoding="utf-8"?>
<formControlPr xmlns="http://schemas.microsoft.com/office/spreadsheetml/2009/9/main" objectType="CheckBox" checked="Checked" fmlaLink="$M$14" lockText="1" noThreeD="1"/>
</file>

<file path=xl/ctrlProps/ctrlProp802.xml><?xml version="1.0" encoding="utf-8"?>
<formControlPr xmlns="http://schemas.microsoft.com/office/spreadsheetml/2009/9/main" objectType="CheckBox" checked="Checked" fmlaLink="$M$15" lockText="1" noThreeD="1"/>
</file>

<file path=xl/ctrlProps/ctrlProp803.xml><?xml version="1.0" encoding="utf-8"?>
<formControlPr xmlns="http://schemas.microsoft.com/office/spreadsheetml/2009/9/main" objectType="CheckBox" checked="Checked" fmlaLink="$M$16" lockText="1" noThreeD="1"/>
</file>

<file path=xl/ctrlProps/ctrlProp804.xml><?xml version="1.0" encoding="utf-8"?>
<formControlPr xmlns="http://schemas.microsoft.com/office/spreadsheetml/2009/9/main" objectType="CheckBox" checked="Checked" fmlaLink="$M$17" lockText="1" noThreeD="1"/>
</file>

<file path=xl/ctrlProps/ctrlProp805.xml><?xml version="1.0" encoding="utf-8"?>
<formControlPr xmlns="http://schemas.microsoft.com/office/spreadsheetml/2009/9/main" objectType="CheckBox" checked="Checked" fmlaLink="$M$18" lockText="1" noThreeD="1"/>
</file>

<file path=xl/ctrlProps/ctrlProp806.xml><?xml version="1.0" encoding="utf-8"?>
<formControlPr xmlns="http://schemas.microsoft.com/office/spreadsheetml/2009/9/main" objectType="CheckBox" checked="Checked" fmlaLink="$M$19" lockText="1" noThreeD="1"/>
</file>

<file path=xl/ctrlProps/ctrlProp807.xml><?xml version="1.0" encoding="utf-8"?>
<formControlPr xmlns="http://schemas.microsoft.com/office/spreadsheetml/2009/9/main" objectType="CheckBox" checked="Checked" fmlaLink="$M$20" lockText="1" noThreeD="1"/>
</file>

<file path=xl/ctrlProps/ctrlProp808.xml><?xml version="1.0" encoding="utf-8"?>
<formControlPr xmlns="http://schemas.microsoft.com/office/spreadsheetml/2009/9/main" objectType="CheckBox" checked="Checked" fmlaLink="$M$21" lockText="1" noThreeD="1"/>
</file>

<file path=xl/ctrlProps/ctrlProp809.xml><?xml version="1.0" encoding="utf-8"?>
<formControlPr xmlns="http://schemas.microsoft.com/office/spreadsheetml/2009/9/main" objectType="CheckBox" checked="Checked" fmlaLink="$M$22" lockText="1" noThreeD="1"/>
</file>

<file path=xl/ctrlProps/ctrlProp810.xml><?xml version="1.0" encoding="utf-8"?>
<formControlPr xmlns="http://schemas.microsoft.com/office/spreadsheetml/2009/9/main" objectType="CheckBox" checked="Checked" fmlaLink="$M$23" lockText="1" noThreeD="1"/>
</file>

<file path=xl/ctrlProps/ctrlProp811.xml><?xml version="1.0" encoding="utf-8"?>
<formControlPr xmlns="http://schemas.microsoft.com/office/spreadsheetml/2009/9/main" objectType="CheckBox" checked="Checked" fmlaLink="$M$24" lockText="1" noThreeD="1"/>
</file>

<file path=xl/ctrlProps/ctrlProp812.xml><?xml version="1.0" encoding="utf-8"?>
<formControlPr xmlns="http://schemas.microsoft.com/office/spreadsheetml/2009/9/main" objectType="CheckBox" checked="Checked" fmlaLink="$M$25" lockText="1" noThreeD="1"/>
</file>

<file path=xl/ctrlProps/ctrlProp813.xml><?xml version="1.0" encoding="utf-8"?>
<formControlPr xmlns="http://schemas.microsoft.com/office/spreadsheetml/2009/9/main" objectType="CheckBox" checked="Checked" fmlaLink="$M$26" lockText="1" noThreeD="1"/>
</file>

<file path=xl/ctrlProps/ctrlProp814.xml><?xml version="1.0" encoding="utf-8"?>
<formControlPr xmlns="http://schemas.microsoft.com/office/spreadsheetml/2009/9/main" objectType="CheckBox" checked="Checked" fmlaLink="$M$27" lockText="1" noThreeD="1"/>
</file>

<file path=xl/ctrlProps/ctrlProp815.xml><?xml version="1.0" encoding="utf-8"?>
<formControlPr xmlns="http://schemas.microsoft.com/office/spreadsheetml/2009/9/main" objectType="CheckBox" checked="Checked" fmlaLink="$M$6" lockText="1" noThreeD="1"/>
</file>

<file path=xl/ctrlProps/ctrlProp816.xml><?xml version="1.0" encoding="utf-8"?>
<formControlPr xmlns="http://schemas.microsoft.com/office/spreadsheetml/2009/9/main" objectType="CheckBox" checked="Checked" fmlaLink="$M$5" lockText="1" noThreeD="1"/>
</file>

<file path=xl/ctrlProps/ctrlProp817.xml><?xml version="1.0" encoding="utf-8"?>
<formControlPr xmlns="http://schemas.microsoft.com/office/spreadsheetml/2009/9/main" objectType="CheckBox" checked="Checked" fmlaLink="$N$5" lockText="1" noThreeD="1"/>
</file>

<file path=xl/ctrlProps/ctrlProp818.xml><?xml version="1.0" encoding="utf-8"?>
<formControlPr xmlns="http://schemas.microsoft.com/office/spreadsheetml/2009/9/main" objectType="CheckBox" checked="Checked" fmlaLink="$L$5" lockText="1" noThreeD="1"/>
</file>

<file path=xl/ctrlProps/ctrlProp819.xml><?xml version="1.0" encoding="utf-8"?>
<formControlPr xmlns="http://schemas.microsoft.com/office/spreadsheetml/2009/9/main" objectType="CheckBox" checked="Checked" fmlaLink="$M$11" lockText="1" noThreeD="1"/>
</file>

<file path=xl/ctrlProps/ctrlProp820.xml><?xml version="1.0" encoding="utf-8"?>
<formControlPr xmlns="http://schemas.microsoft.com/office/spreadsheetml/2009/9/main" objectType="CheckBox" checked="Checked" fmlaLink="$L$28" lockText="1" noThreeD="1"/>
</file>

<file path=xl/ctrlProps/ctrlProp821.xml><?xml version="1.0" encoding="utf-8"?>
<formControlPr xmlns="http://schemas.microsoft.com/office/spreadsheetml/2009/9/main" objectType="CheckBox" checked="Checked" fmlaLink="$L$29" lockText="1" noThreeD="1"/>
</file>

<file path=xl/ctrlProps/ctrlProp822.xml><?xml version="1.0" encoding="utf-8"?>
<formControlPr xmlns="http://schemas.microsoft.com/office/spreadsheetml/2009/9/main" objectType="CheckBox" checked="Checked" fmlaLink="$L$30" lockText="1" noThreeD="1"/>
</file>

<file path=xl/ctrlProps/ctrlProp823.xml><?xml version="1.0" encoding="utf-8"?>
<formControlPr xmlns="http://schemas.microsoft.com/office/spreadsheetml/2009/9/main" objectType="CheckBox" checked="Checked" fmlaLink="$L$31" lockText="1" noThreeD="1"/>
</file>

<file path=xl/ctrlProps/ctrlProp824.xml><?xml version="1.0" encoding="utf-8"?>
<formControlPr xmlns="http://schemas.microsoft.com/office/spreadsheetml/2009/9/main" objectType="CheckBox" checked="Checked" fmlaLink="$L$32" lockText="1" noThreeD="1"/>
</file>

<file path=xl/ctrlProps/ctrlProp825.xml><?xml version="1.0" encoding="utf-8"?>
<formControlPr xmlns="http://schemas.microsoft.com/office/spreadsheetml/2009/9/main" objectType="CheckBox" checked="Checked" fmlaLink="$L$33" lockText="1" noThreeD="1"/>
</file>

<file path=xl/ctrlProps/ctrlProp826.xml><?xml version="1.0" encoding="utf-8"?>
<formControlPr xmlns="http://schemas.microsoft.com/office/spreadsheetml/2009/9/main" objectType="CheckBox" checked="Checked" fmlaLink="$L$34" lockText="1" noThreeD="1"/>
</file>

<file path=xl/ctrlProps/ctrlProp827.xml><?xml version="1.0" encoding="utf-8"?>
<formControlPr xmlns="http://schemas.microsoft.com/office/spreadsheetml/2009/9/main" objectType="CheckBox" checked="Checked" fmlaLink="$M$28" lockText="1" noThreeD="1"/>
</file>

<file path=xl/ctrlProps/ctrlProp828.xml><?xml version="1.0" encoding="utf-8"?>
<formControlPr xmlns="http://schemas.microsoft.com/office/spreadsheetml/2009/9/main" objectType="CheckBox" checked="Checked" fmlaLink="$M$29" lockText="1" noThreeD="1"/>
</file>

<file path=xl/ctrlProps/ctrlProp829.xml><?xml version="1.0" encoding="utf-8"?>
<formControlPr xmlns="http://schemas.microsoft.com/office/spreadsheetml/2009/9/main" objectType="CheckBox" checked="Checked" fmlaLink="$M$30" lockText="1" noThreeD="1"/>
</file>

<file path=xl/ctrlProps/ctrlProp830.xml><?xml version="1.0" encoding="utf-8"?>
<formControlPr xmlns="http://schemas.microsoft.com/office/spreadsheetml/2009/9/main" objectType="CheckBox" checked="Checked" fmlaLink="$M$31" lockText="1" noThreeD="1"/>
</file>

<file path=xl/ctrlProps/ctrlProp831.xml><?xml version="1.0" encoding="utf-8"?>
<formControlPr xmlns="http://schemas.microsoft.com/office/spreadsheetml/2009/9/main" objectType="CheckBox" checked="Checked" fmlaLink="$M$32" lockText="1" noThreeD="1"/>
</file>

<file path=xl/ctrlProps/ctrlProp832.xml><?xml version="1.0" encoding="utf-8"?>
<formControlPr xmlns="http://schemas.microsoft.com/office/spreadsheetml/2009/9/main" objectType="CheckBox" checked="Checked" fmlaLink="$M$33" lockText="1" noThreeD="1"/>
</file>

<file path=xl/ctrlProps/ctrlProp833.xml><?xml version="1.0" encoding="utf-8"?>
<formControlPr xmlns="http://schemas.microsoft.com/office/spreadsheetml/2009/9/main" objectType="CheckBox" checked="Checked" fmlaLink="$M$34" lockText="1" noThreeD="1"/>
</file>

<file path=xl/ctrlProps/ctrlProp834.xml><?xml version="1.0" encoding="utf-8"?>
<formControlPr xmlns="http://schemas.microsoft.com/office/spreadsheetml/2009/9/main" objectType="CheckBox" checked="Checked" fmlaLink="$L$35" lockText="1" noThreeD="1"/>
</file>

<file path=xl/ctrlProps/ctrlProp835.xml><?xml version="1.0" encoding="utf-8"?>
<formControlPr xmlns="http://schemas.microsoft.com/office/spreadsheetml/2009/9/main" objectType="CheckBox" checked="Checked" fmlaLink="$M$35" lockText="1" noThreeD="1"/>
</file>

<file path=xl/ctrlProps/ctrlProp836.xml><?xml version="1.0" encoding="utf-8"?>
<formControlPr xmlns="http://schemas.microsoft.com/office/spreadsheetml/2009/9/main" objectType="CheckBox" checked="Checked" fmlaLink="$N$6" lockText="1" noThreeD="1"/>
</file>

<file path=xl/ctrlProps/ctrlProp837.xml><?xml version="1.0" encoding="utf-8"?>
<formControlPr xmlns="http://schemas.microsoft.com/office/spreadsheetml/2009/9/main" objectType="CheckBox" checked="Checked" fmlaLink="$N$7" lockText="1" noThreeD="1"/>
</file>

<file path=xl/ctrlProps/ctrlProp838.xml><?xml version="1.0" encoding="utf-8"?>
<formControlPr xmlns="http://schemas.microsoft.com/office/spreadsheetml/2009/9/main" objectType="CheckBox" checked="Checked" fmlaLink="$N$8" lockText="1" noThreeD="1"/>
</file>

<file path=xl/ctrlProps/ctrlProp839.xml><?xml version="1.0" encoding="utf-8"?>
<formControlPr xmlns="http://schemas.microsoft.com/office/spreadsheetml/2009/9/main" objectType="CheckBox" checked="Checked" fmlaLink="$N$9" lockText="1" noThreeD="1"/>
</file>

<file path=xl/ctrlProps/ctrlProp840.xml><?xml version="1.0" encoding="utf-8"?>
<formControlPr xmlns="http://schemas.microsoft.com/office/spreadsheetml/2009/9/main" objectType="CheckBox" checked="Checked" fmlaLink="$N$10" lockText="1" noThreeD="1"/>
</file>

<file path=xl/ctrlProps/ctrlProp841.xml><?xml version="1.0" encoding="utf-8"?>
<formControlPr xmlns="http://schemas.microsoft.com/office/spreadsheetml/2009/9/main" objectType="CheckBox" checked="Checked" fmlaLink="$N$11" lockText="1" noThreeD="1"/>
</file>

<file path=xl/ctrlProps/ctrlProp842.xml><?xml version="1.0" encoding="utf-8"?>
<formControlPr xmlns="http://schemas.microsoft.com/office/spreadsheetml/2009/9/main" objectType="CheckBox" checked="Checked" fmlaLink="$N$12" lockText="1" noThreeD="1"/>
</file>

<file path=xl/ctrlProps/ctrlProp843.xml><?xml version="1.0" encoding="utf-8"?>
<formControlPr xmlns="http://schemas.microsoft.com/office/spreadsheetml/2009/9/main" objectType="CheckBox" checked="Checked" fmlaLink="$N$13" lockText="1" noThreeD="1"/>
</file>

<file path=xl/ctrlProps/ctrlProp844.xml><?xml version="1.0" encoding="utf-8"?>
<formControlPr xmlns="http://schemas.microsoft.com/office/spreadsheetml/2009/9/main" objectType="CheckBox" checked="Checked" fmlaLink="$N$14" lockText="1" noThreeD="1"/>
</file>

<file path=xl/ctrlProps/ctrlProp845.xml><?xml version="1.0" encoding="utf-8"?>
<formControlPr xmlns="http://schemas.microsoft.com/office/spreadsheetml/2009/9/main" objectType="CheckBox" checked="Checked" fmlaLink="$N$15" lockText="1" noThreeD="1"/>
</file>

<file path=xl/ctrlProps/ctrlProp846.xml><?xml version="1.0" encoding="utf-8"?>
<formControlPr xmlns="http://schemas.microsoft.com/office/spreadsheetml/2009/9/main" objectType="CheckBox" checked="Checked" fmlaLink="$N$16" lockText="1" noThreeD="1"/>
</file>

<file path=xl/ctrlProps/ctrlProp847.xml><?xml version="1.0" encoding="utf-8"?>
<formControlPr xmlns="http://schemas.microsoft.com/office/spreadsheetml/2009/9/main" objectType="CheckBox" checked="Checked" fmlaLink="$N$17" lockText="1" noThreeD="1"/>
</file>

<file path=xl/ctrlProps/ctrlProp848.xml><?xml version="1.0" encoding="utf-8"?>
<formControlPr xmlns="http://schemas.microsoft.com/office/spreadsheetml/2009/9/main" objectType="CheckBox" checked="Checked" fmlaLink="$N$18" lockText="1" noThreeD="1"/>
</file>

<file path=xl/ctrlProps/ctrlProp849.xml><?xml version="1.0" encoding="utf-8"?>
<formControlPr xmlns="http://schemas.microsoft.com/office/spreadsheetml/2009/9/main" objectType="CheckBox" checked="Checked" fmlaLink="$N$19" lockText="1" noThreeD="1"/>
</file>

<file path=xl/ctrlProps/ctrlProp850.xml><?xml version="1.0" encoding="utf-8"?>
<formControlPr xmlns="http://schemas.microsoft.com/office/spreadsheetml/2009/9/main" objectType="CheckBox" checked="Checked" fmlaLink="$N$20" lockText="1" noThreeD="1"/>
</file>

<file path=xl/ctrlProps/ctrlProp851.xml><?xml version="1.0" encoding="utf-8"?>
<formControlPr xmlns="http://schemas.microsoft.com/office/spreadsheetml/2009/9/main" objectType="CheckBox" checked="Checked" fmlaLink="$N$21" lockText="1" noThreeD="1"/>
</file>

<file path=xl/ctrlProps/ctrlProp852.xml><?xml version="1.0" encoding="utf-8"?>
<formControlPr xmlns="http://schemas.microsoft.com/office/spreadsheetml/2009/9/main" objectType="CheckBox" checked="Checked" fmlaLink="$N$22" lockText="1" noThreeD="1"/>
</file>

<file path=xl/ctrlProps/ctrlProp853.xml><?xml version="1.0" encoding="utf-8"?>
<formControlPr xmlns="http://schemas.microsoft.com/office/spreadsheetml/2009/9/main" objectType="CheckBox" checked="Checked" fmlaLink="$N$23" lockText="1" noThreeD="1"/>
</file>

<file path=xl/ctrlProps/ctrlProp854.xml><?xml version="1.0" encoding="utf-8"?>
<formControlPr xmlns="http://schemas.microsoft.com/office/spreadsheetml/2009/9/main" objectType="CheckBox" checked="Checked" fmlaLink="$N$24" lockText="1" noThreeD="1"/>
</file>

<file path=xl/ctrlProps/ctrlProp855.xml><?xml version="1.0" encoding="utf-8"?>
<formControlPr xmlns="http://schemas.microsoft.com/office/spreadsheetml/2009/9/main" objectType="CheckBox" checked="Checked" fmlaLink="$N$25" lockText="1" noThreeD="1"/>
</file>

<file path=xl/ctrlProps/ctrlProp856.xml><?xml version="1.0" encoding="utf-8"?>
<formControlPr xmlns="http://schemas.microsoft.com/office/spreadsheetml/2009/9/main" objectType="CheckBox" checked="Checked" fmlaLink="$N$26" lockText="1" noThreeD="1"/>
</file>

<file path=xl/ctrlProps/ctrlProp857.xml><?xml version="1.0" encoding="utf-8"?>
<formControlPr xmlns="http://schemas.microsoft.com/office/spreadsheetml/2009/9/main" objectType="CheckBox" checked="Checked" fmlaLink="$N$27" lockText="1" noThreeD="1"/>
</file>

<file path=xl/ctrlProps/ctrlProp858.xml><?xml version="1.0" encoding="utf-8"?>
<formControlPr xmlns="http://schemas.microsoft.com/office/spreadsheetml/2009/9/main" objectType="CheckBox" checked="Checked" fmlaLink="$N$28" lockText="1" noThreeD="1"/>
</file>

<file path=xl/ctrlProps/ctrlProp859.xml><?xml version="1.0" encoding="utf-8"?>
<formControlPr xmlns="http://schemas.microsoft.com/office/spreadsheetml/2009/9/main" objectType="CheckBox" checked="Checked" fmlaLink="$N$29" lockText="1" noThreeD="1"/>
</file>

<file path=xl/ctrlProps/ctrlProp860.xml><?xml version="1.0" encoding="utf-8"?>
<formControlPr xmlns="http://schemas.microsoft.com/office/spreadsheetml/2009/9/main" objectType="CheckBox" checked="Checked" fmlaLink="$N$30" lockText="1" noThreeD="1"/>
</file>

<file path=xl/ctrlProps/ctrlProp861.xml><?xml version="1.0" encoding="utf-8"?>
<formControlPr xmlns="http://schemas.microsoft.com/office/spreadsheetml/2009/9/main" objectType="CheckBox" checked="Checked" fmlaLink="$N$31" lockText="1" noThreeD="1"/>
</file>

<file path=xl/ctrlProps/ctrlProp862.xml><?xml version="1.0" encoding="utf-8"?>
<formControlPr xmlns="http://schemas.microsoft.com/office/spreadsheetml/2009/9/main" objectType="CheckBox" checked="Checked" fmlaLink="$N$32" lockText="1" noThreeD="1"/>
</file>

<file path=xl/ctrlProps/ctrlProp863.xml><?xml version="1.0" encoding="utf-8"?>
<formControlPr xmlns="http://schemas.microsoft.com/office/spreadsheetml/2009/9/main" objectType="CheckBox" checked="Checked" fmlaLink="$N$33" lockText="1" noThreeD="1"/>
</file>

<file path=xl/ctrlProps/ctrlProp864.xml><?xml version="1.0" encoding="utf-8"?>
<formControlPr xmlns="http://schemas.microsoft.com/office/spreadsheetml/2009/9/main" objectType="CheckBox" checked="Checked" fmlaLink="$N$34" lockText="1" noThreeD="1"/>
</file>

<file path=xl/ctrlProps/ctrlProp865.xml><?xml version="1.0" encoding="utf-8"?>
<formControlPr xmlns="http://schemas.microsoft.com/office/spreadsheetml/2009/9/main" objectType="CheckBox" checked="Checked" fmlaLink="$N$35" lockText="1" noThreeD="1"/>
</file>

<file path=xl/ctrlProps/ctrlProp86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352425</xdr:colOff>
      <xdr:row>50</xdr:row>
      <xdr:rowOff>19050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100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640425" cy="9553575"/>
        </a:xfrm>
        <a:prstGeom prst="rect">
          <a:avLst/>
        </a:prstGeom>
        <a:effectLst/>
      </xdr:spPr>
    </xdr:pic>
    <xdr:clientData/>
  </xdr:twoCellAnchor>
  <xdr:oneCellAnchor>
    <xdr:from>
      <xdr:col>8</xdr:col>
      <xdr:colOff>407469</xdr:colOff>
      <xdr:row>1</xdr:row>
      <xdr:rowOff>53975</xdr:rowOff>
    </xdr:from>
    <xdr:ext cx="5425005" cy="1469890"/>
    <xdr:sp macro="" textlink="">
      <xdr:nvSpPr>
        <xdr:cNvPr id="2" name="Rectangle 1"/>
        <xdr:cNvSpPr/>
      </xdr:nvSpPr>
      <xdr:spPr>
        <a:xfrm>
          <a:off x="5284269" y="244475"/>
          <a:ext cx="5425005" cy="14698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400" b="1" i="0" u="sng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Ria</a:t>
          </a:r>
          <a:r>
            <a:rPr lang="en-US" sz="4400" b="1" i="0" u="sng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View Theatre Club</a:t>
          </a:r>
        </a:p>
        <a:p>
          <a:pPr algn="ctr"/>
          <a:r>
            <a:rPr lang="en-US" sz="4400" b="1" i="1" u="none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Main Menu</a:t>
          </a:r>
          <a:endParaRPr lang="en-US" sz="4400" b="1" i="1" u="none" cap="none" spc="0">
            <a:ln w="10160">
              <a:solidFill>
                <a:schemeClr val="accent1"/>
              </a:solidFill>
              <a:prstDash val="solid"/>
            </a:ln>
            <a:solidFill>
              <a:srgbClr val="FFFFFF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11</xdr:row>
          <xdr:rowOff>142875</xdr:rowOff>
        </xdr:from>
        <xdr:to>
          <xdr:col>5</xdr:col>
          <xdr:colOff>600075</xdr:colOff>
          <xdr:row>14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sto MT"/>
                </a:rPr>
                <a:t>Price of Coaches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15</xdr:row>
          <xdr:rowOff>95250</xdr:rowOff>
        </xdr:from>
        <xdr:to>
          <xdr:col>5</xdr:col>
          <xdr:colOff>600075</xdr:colOff>
          <xdr:row>17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sto MT"/>
                </a:rPr>
                <a:t>Price of Tickets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19</xdr:row>
          <xdr:rowOff>123825</xdr:rowOff>
        </xdr:from>
        <xdr:to>
          <xdr:col>5</xdr:col>
          <xdr:colOff>600075</xdr:colOff>
          <xdr:row>21</xdr:row>
          <xdr:rowOff>161925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sto MT"/>
                </a:rPr>
                <a:t>Trips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23</xdr:row>
          <xdr:rowOff>161925</xdr:rowOff>
        </xdr:from>
        <xdr:to>
          <xdr:col>5</xdr:col>
          <xdr:colOff>600075</xdr:colOff>
          <xdr:row>26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sto MT"/>
                </a:rPr>
                <a:t>Annual Membership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28</xdr:row>
          <xdr:rowOff>0</xdr:rowOff>
        </xdr:from>
        <xdr:to>
          <xdr:col>5</xdr:col>
          <xdr:colOff>600075</xdr:colOff>
          <xdr:row>30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sto MT"/>
                </a:rPr>
                <a:t>Members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257175</xdr:colOff>
      <xdr:row>0</xdr:row>
      <xdr:rowOff>142875</xdr:rowOff>
    </xdr:from>
    <xdr:to>
      <xdr:col>28</xdr:col>
      <xdr:colOff>474889</xdr:colOff>
      <xdr:row>12</xdr:row>
      <xdr:rowOff>142875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5" y="142875"/>
          <a:ext cx="3265714" cy="2286000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13</xdr:row>
          <xdr:rowOff>0</xdr:rowOff>
        </xdr:from>
        <xdr:to>
          <xdr:col>21</xdr:col>
          <xdr:colOff>419100</xdr:colOff>
          <xdr:row>14</xdr:row>
          <xdr:rowOff>114300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Royal Court Theatre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15</xdr:row>
          <xdr:rowOff>180975</xdr:rowOff>
        </xdr:from>
        <xdr:to>
          <xdr:col>21</xdr:col>
          <xdr:colOff>419100</xdr:colOff>
          <xdr:row>17</xdr:row>
          <xdr:rowOff>85725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Southwark Playhouse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18</xdr:row>
          <xdr:rowOff>142875</xdr:rowOff>
        </xdr:from>
        <xdr:to>
          <xdr:col>21</xdr:col>
          <xdr:colOff>400050</xdr:colOff>
          <xdr:row>20</xdr:row>
          <xdr:rowOff>76200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National Theatre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21</xdr:row>
          <xdr:rowOff>104775</xdr:rowOff>
        </xdr:from>
        <xdr:to>
          <xdr:col>21</xdr:col>
          <xdr:colOff>409575</xdr:colOff>
          <xdr:row>23</xdr:row>
          <xdr:rowOff>38100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Union Theatre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24</xdr:row>
          <xdr:rowOff>66675</xdr:rowOff>
        </xdr:from>
        <xdr:to>
          <xdr:col>21</xdr:col>
          <xdr:colOff>419100</xdr:colOff>
          <xdr:row>26</xdr:row>
          <xdr:rowOff>57150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The Young Vic Theatre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27</xdr:row>
          <xdr:rowOff>66675</xdr:rowOff>
        </xdr:from>
        <xdr:to>
          <xdr:col>21</xdr:col>
          <xdr:colOff>419100</xdr:colOff>
          <xdr:row>29</xdr:row>
          <xdr:rowOff>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The Old Vic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29</xdr:row>
          <xdr:rowOff>171450</xdr:rowOff>
        </xdr:from>
        <xdr:to>
          <xdr:col>21</xdr:col>
          <xdr:colOff>428625</xdr:colOff>
          <xdr:row>31</xdr:row>
          <xdr:rowOff>133350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Victoria Palace Theatre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32</xdr:row>
          <xdr:rowOff>133350</xdr:rowOff>
        </xdr:from>
        <xdr:to>
          <xdr:col>21</xdr:col>
          <xdr:colOff>428625</xdr:colOff>
          <xdr:row>34</xdr:row>
          <xdr:rowOff>133350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egoe Print"/>
                </a:rPr>
                <a:t>Soho Theatre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291382</xdr:colOff>
      <xdr:row>21</xdr:row>
      <xdr:rowOff>145548</xdr:rowOff>
    </xdr:from>
    <xdr:ext cx="2808141" cy="513282"/>
    <xdr:sp macro="" textlink="">
      <xdr:nvSpPr>
        <xdr:cNvPr id="5" name="Rectangle 4"/>
        <xdr:cNvSpPr/>
      </xdr:nvSpPr>
      <xdr:spPr>
        <a:xfrm>
          <a:off x="6996982" y="4146048"/>
          <a:ext cx="2808141" cy="513282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18415" cmpd="sng">
                <a:noFill/>
                <a:prstDash val="solid"/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+mj-lt"/>
            </a:rPr>
            <a:t>Various</a:t>
          </a:r>
          <a:r>
            <a:rPr lang="en-US" sz="2800" b="0" cap="none" spc="0" baseline="0">
              <a:ln w="18415" cmpd="sng">
                <a:noFill/>
                <a:prstDash val="solid"/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+mj-lt"/>
            </a:rPr>
            <a:t> Theatres</a:t>
          </a:r>
          <a:endParaRPr lang="en-US" sz="2800" b="0" cap="none" spc="0">
            <a:ln w="18415" cmpd="sng">
              <a:noFill/>
              <a:prstDash val="solid"/>
            </a:ln>
            <a:solidFill>
              <a:schemeClr val="tx1">
                <a:lumMod val="95000"/>
                <a:lumOff val="5000"/>
              </a:schemeClr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+mj-lt"/>
          </a:endParaRPr>
        </a:p>
      </xdr:txBody>
    </xdr:sp>
    <xdr:clientData/>
  </xdr:oneCellAnchor>
  <xdr:twoCellAnchor>
    <xdr:from>
      <xdr:col>16</xdr:col>
      <xdr:colOff>85725</xdr:colOff>
      <xdr:row>13</xdr:row>
      <xdr:rowOff>152403</xdr:rowOff>
    </xdr:from>
    <xdr:to>
      <xdr:col>18</xdr:col>
      <xdr:colOff>295275</xdr:colOff>
      <xdr:row>20</xdr:row>
      <xdr:rowOff>114300</xdr:rowOff>
    </xdr:to>
    <xdr:cxnSp macro="">
      <xdr:nvCxnSpPr>
        <xdr:cNvPr id="7" name="Straight Connector 6"/>
        <xdr:cNvCxnSpPr/>
      </xdr:nvCxnSpPr>
      <xdr:spPr>
        <a:xfrm flipV="1">
          <a:off x="9839325" y="2628903"/>
          <a:ext cx="1428750" cy="1295397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171450</xdr:colOff>
      <xdr:row>16</xdr:row>
      <xdr:rowOff>133353</xdr:rowOff>
    </xdr:from>
    <xdr:to>
      <xdr:col>18</xdr:col>
      <xdr:colOff>295275</xdr:colOff>
      <xdr:row>21</xdr:row>
      <xdr:rowOff>95250</xdr:rowOff>
    </xdr:to>
    <xdr:cxnSp macro="">
      <xdr:nvCxnSpPr>
        <xdr:cNvPr id="9" name="Straight Connector 8"/>
        <xdr:cNvCxnSpPr/>
      </xdr:nvCxnSpPr>
      <xdr:spPr>
        <a:xfrm flipV="1">
          <a:off x="9925050" y="3181353"/>
          <a:ext cx="1343025" cy="914397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19</xdr:row>
      <xdr:rowOff>109539</xdr:rowOff>
    </xdr:from>
    <xdr:to>
      <xdr:col>18</xdr:col>
      <xdr:colOff>295275</xdr:colOff>
      <xdr:row>22</xdr:row>
      <xdr:rowOff>76200</xdr:rowOff>
    </xdr:to>
    <xdr:cxnSp macro="">
      <xdr:nvCxnSpPr>
        <xdr:cNvPr id="11" name="Straight Connector 10"/>
        <xdr:cNvCxnSpPr/>
      </xdr:nvCxnSpPr>
      <xdr:spPr>
        <a:xfrm flipV="1">
          <a:off x="9963150" y="3729039"/>
          <a:ext cx="1304925" cy="538161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200025</xdr:colOff>
      <xdr:row>22</xdr:row>
      <xdr:rowOff>71439</xdr:rowOff>
    </xdr:from>
    <xdr:to>
      <xdr:col>18</xdr:col>
      <xdr:colOff>295275</xdr:colOff>
      <xdr:row>23</xdr:row>
      <xdr:rowOff>38100</xdr:rowOff>
    </xdr:to>
    <xdr:cxnSp macro="">
      <xdr:nvCxnSpPr>
        <xdr:cNvPr id="13" name="Straight Connector 12"/>
        <xdr:cNvCxnSpPr/>
      </xdr:nvCxnSpPr>
      <xdr:spPr>
        <a:xfrm flipV="1">
          <a:off x="9953625" y="4262439"/>
          <a:ext cx="1314450" cy="157161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190500</xdr:colOff>
      <xdr:row>23</xdr:row>
      <xdr:rowOff>180975</xdr:rowOff>
    </xdr:from>
    <xdr:to>
      <xdr:col>18</xdr:col>
      <xdr:colOff>295275</xdr:colOff>
      <xdr:row>25</xdr:row>
      <xdr:rowOff>61912</xdr:rowOff>
    </xdr:to>
    <xdr:cxnSp macro="">
      <xdr:nvCxnSpPr>
        <xdr:cNvPr id="15" name="Straight Connector 14"/>
        <xdr:cNvCxnSpPr/>
      </xdr:nvCxnSpPr>
      <xdr:spPr>
        <a:xfrm>
          <a:off x="9944100" y="4562475"/>
          <a:ext cx="1323975" cy="261937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171450</xdr:colOff>
      <xdr:row>24</xdr:row>
      <xdr:rowOff>161925</xdr:rowOff>
    </xdr:from>
    <xdr:to>
      <xdr:col>18</xdr:col>
      <xdr:colOff>295275</xdr:colOff>
      <xdr:row>28</xdr:row>
      <xdr:rowOff>33337</xdr:rowOff>
    </xdr:to>
    <xdr:cxnSp macro="">
      <xdr:nvCxnSpPr>
        <xdr:cNvPr id="18" name="Straight Connector 17"/>
        <xdr:cNvCxnSpPr/>
      </xdr:nvCxnSpPr>
      <xdr:spPr>
        <a:xfrm>
          <a:off x="9925050" y="4733925"/>
          <a:ext cx="1343025" cy="633412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25</xdr:row>
      <xdr:rowOff>57150</xdr:rowOff>
    </xdr:from>
    <xdr:to>
      <xdr:col>18</xdr:col>
      <xdr:colOff>295275</xdr:colOff>
      <xdr:row>30</xdr:row>
      <xdr:rowOff>152400</xdr:rowOff>
    </xdr:to>
    <xdr:cxnSp macro="">
      <xdr:nvCxnSpPr>
        <xdr:cNvPr id="20" name="Straight Connector 19"/>
        <xdr:cNvCxnSpPr/>
      </xdr:nvCxnSpPr>
      <xdr:spPr>
        <a:xfrm>
          <a:off x="9858375" y="4819650"/>
          <a:ext cx="1409700" cy="1047750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25</xdr:row>
      <xdr:rowOff>152400</xdr:rowOff>
    </xdr:from>
    <xdr:to>
      <xdr:col>18</xdr:col>
      <xdr:colOff>295275</xdr:colOff>
      <xdr:row>33</xdr:row>
      <xdr:rowOff>133350</xdr:rowOff>
    </xdr:to>
    <xdr:cxnSp macro="">
      <xdr:nvCxnSpPr>
        <xdr:cNvPr id="22" name="Straight Connector 21"/>
        <xdr:cNvCxnSpPr/>
      </xdr:nvCxnSpPr>
      <xdr:spPr>
        <a:xfrm>
          <a:off x="9753600" y="4914900"/>
          <a:ext cx="1514475" cy="1504950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85724</xdr:colOff>
      <xdr:row>0</xdr:row>
      <xdr:rowOff>133350</xdr:rowOff>
    </xdr:from>
    <xdr:to>
      <xdr:col>3</xdr:col>
      <xdr:colOff>95249</xdr:colOff>
      <xdr:row>2</xdr:row>
      <xdr:rowOff>19050</xdr:rowOff>
    </xdr:to>
    <xdr:sp macro="" textlink="">
      <xdr:nvSpPr>
        <xdr:cNvPr id="7268" name="TextBox 7267"/>
        <xdr:cNvSpPr txBox="1"/>
      </xdr:nvSpPr>
      <xdr:spPr>
        <a:xfrm>
          <a:off x="85724" y="133350"/>
          <a:ext cx="1838325" cy="2667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solidFill>
                <a:srgbClr val="FF0000"/>
              </a:solidFill>
            </a:rPr>
            <a:t>Khushal</a:t>
          </a:r>
          <a:r>
            <a:rPr lang="en-GB" sz="1200" baseline="0">
              <a:solidFill>
                <a:srgbClr val="FF0000"/>
              </a:solidFill>
            </a:rPr>
            <a:t> Ashani   KC32755</a:t>
          </a:r>
          <a:endParaRPr lang="en-GB" sz="12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31</xdr:row>
          <xdr:rowOff>66675</xdr:rowOff>
        </xdr:from>
        <xdr:to>
          <xdr:col>5</xdr:col>
          <xdr:colOff>600075</xdr:colOff>
          <xdr:row>33</xdr:row>
          <xdr:rowOff>95250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sto MT"/>
                </a:rPr>
                <a:t>Revinue Made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514350</xdr:colOff>
      <xdr:row>12</xdr:row>
      <xdr:rowOff>57150</xdr:rowOff>
    </xdr:from>
    <xdr:to>
      <xdr:col>22</xdr:col>
      <xdr:colOff>542925</xdr:colOff>
      <xdr:row>35</xdr:row>
      <xdr:rowOff>47625</xdr:rowOff>
    </xdr:to>
    <xdr:sp macro="" textlink="">
      <xdr:nvSpPr>
        <xdr:cNvPr id="6" name="Right Brace 5"/>
        <xdr:cNvSpPr/>
      </xdr:nvSpPr>
      <xdr:spPr>
        <a:xfrm>
          <a:off x="13315950" y="2343150"/>
          <a:ext cx="638175" cy="4371975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114300</xdr:colOff>
      <xdr:row>21</xdr:row>
      <xdr:rowOff>171449</xdr:rowOff>
    </xdr:from>
    <xdr:to>
      <xdr:col>26</xdr:col>
      <xdr:colOff>361950</xdr:colOff>
      <xdr:row>25</xdr:row>
      <xdr:rowOff>57150</xdr:rowOff>
    </xdr:to>
    <xdr:sp macro="" textlink="">
      <xdr:nvSpPr>
        <xdr:cNvPr id="8" name="TextBox 7"/>
        <xdr:cNvSpPr txBox="1"/>
      </xdr:nvSpPr>
      <xdr:spPr>
        <a:xfrm>
          <a:off x="14135100" y="4171949"/>
          <a:ext cx="2076450" cy="647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Note:</a:t>
          </a:r>
        </a:p>
        <a:p>
          <a:r>
            <a:rPr lang="en-GB" sz="1100" i="1">
              <a:solidFill>
                <a:srgbClr val="FF0000"/>
              </a:solidFill>
            </a:rPr>
            <a:t>Please</a:t>
          </a:r>
          <a:r>
            <a:rPr lang="en-GB" sz="1100" i="1" baseline="0">
              <a:solidFill>
                <a:srgbClr val="FF0000"/>
              </a:solidFill>
            </a:rPr>
            <a:t> scroll to the bottom to see available opening times.</a:t>
          </a:r>
          <a:endParaRPr lang="en-GB" sz="1100" i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238126</xdr:colOff>
      <xdr:row>0</xdr:row>
      <xdr:rowOff>161925</xdr:rowOff>
    </xdr:from>
    <xdr:ext cx="6353174" cy="1782924"/>
    <xdr:sp macro="" textlink="">
      <xdr:nvSpPr>
        <xdr:cNvPr id="2" name="Rectangle 1"/>
        <xdr:cNvSpPr/>
      </xdr:nvSpPr>
      <xdr:spPr>
        <a:xfrm>
          <a:off x="6029326" y="161925"/>
          <a:ext cx="6353174" cy="178292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i="0" u="sng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Revenue</a:t>
          </a:r>
          <a:r>
            <a:rPr lang="en-US" sz="5400" b="1" i="0" u="sng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made from shows</a:t>
          </a:r>
          <a:endParaRPr lang="en-US" sz="5400" b="1" i="0" u="sng" cap="none" spc="0">
            <a:ln w="10160">
              <a:solidFill>
                <a:schemeClr val="accent1"/>
              </a:solidFill>
              <a:prstDash val="solid"/>
            </a:ln>
            <a:solidFill>
              <a:srgbClr val="FFFFFF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</xdr:col>
      <xdr:colOff>76200</xdr:colOff>
      <xdr:row>8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  <xdr:twoCellAnchor>
    <xdr:from>
      <xdr:col>6</xdr:col>
      <xdr:colOff>238124</xdr:colOff>
      <xdr:row>18</xdr:row>
      <xdr:rowOff>110727</xdr:rowOff>
    </xdr:from>
    <xdr:to>
      <xdr:col>24</xdr:col>
      <xdr:colOff>619124</xdr:colOff>
      <xdr:row>35</xdr:row>
      <xdr:rowOff>95250</xdr:rowOff>
    </xdr:to>
    <xdr:graphicFrame macro="">
      <xdr:nvGraphicFramePr>
        <xdr:cNvPr id="20" name="Total Reven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921231</xdr:colOff>
      <xdr:row>1</xdr:row>
      <xdr:rowOff>0</xdr:rowOff>
    </xdr:from>
    <xdr:ext cx="5983241" cy="781111"/>
    <xdr:sp macro="" textlink="">
      <xdr:nvSpPr>
        <xdr:cNvPr id="2" name="Rectangle 1"/>
        <xdr:cNvSpPr/>
      </xdr:nvSpPr>
      <xdr:spPr>
        <a:xfrm>
          <a:off x="4597881" y="190500"/>
          <a:ext cx="5983241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1" i="0" u="sng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Coach Prices/Availability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2</xdr:row>
          <xdr:rowOff>9525</xdr:rowOff>
        </xdr:from>
        <xdr:to>
          <xdr:col>13</xdr:col>
          <xdr:colOff>19050</xdr:colOff>
          <xdr:row>3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2</xdr:col>
      <xdr:colOff>895350</xdr:colOff>
      <xdr:row>8</xdr:row>
      <xdr:rowOff>57150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244928</xdr:colOff>
      <xdr:row>0</xdr:row>
      <xdr:rowOff>122464</xdr:rowOff>
    </xdr:from>
    <xdr:to>
      <xdr:col>10</xdr:col>
      <xdr:colOff>830037</xdr:colOff>
      <xdr:row>13</xdr:row>
      <xdr:rowOff>231321</xdr:rowOff>
    </xdr:to>
    <xdr:sp macro="" textlink="">
      <xdr:nvSpPr>
        <xdr:cNvPr id="4" name="Rectangle 3"/>
        <xdr:cNvSpPr/>
      </xdr:nvSpPr>
      <xdr:spPr>
        <a:xfrm>
          <a:off x="20764499" y="122464"/>
          <a:ext cx="2163538" cy="3429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4</xdr:col>
      <xdr:colOff>1047750</xdr:colOff>
      <xdr:row>1</xdr:row>
      <xdr:rowOff>9440</xdr:rowOff>
    </xdr:from>
    <xdr:ext cx="3703513" cy="937629"/>
    <xdr:sp macro="" textlink="">
      <xdr:nvSpPr>
        <xdr:cNvPr id="2" name="Rectangle 1"/>
        <xdr:cNvSpPr/>
      </xdr:nvSpPr>
      <xdr:spPr>
        <a:xfrm>
          <a:off x="10620375" y="199940"/>
          <a:ext cx="3703513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i="0" u="sng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Ticket Sales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762000</xdr:colOff>
          <xdr:row>13</xdr:row>
          <xdr:rowOff>371475</xdr:rowOff>
        </xdr:from>
        <xdr:to>
          <xdr:col>10</xdr:col>
          <xdr:colOff>400050</xdr:colOff>
          <xdr:row>15</xdr:row>
          <xdr:rowOff>95250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182048</xdr:colOff>
      <xdr:row>97</xdr:row>
      <xdr:rowOff>32904</xdr:rowOff>
    </xdr:from>
    <xdr:ext cx="4056578" cy="490971"/>
    <xdr:sp macro="" textlink="">
      <xdr:nvSpPr>
        <xdr:cNvPr id="3" name="Rectangle 2"/>
        <xdr:cNvSpPr/>
      </xdr:nvSpPr>
      <xdr:spPr>
        <a:xfrm>
          <a:off x="5173148" y="33751404"/>
          <a:ext cx="4056578" cy="490971"/>
        </a:xfrm>
        <a:prstGeom prst="rect">
          <a:avLst/>
        </a:prstGeom>
        <a:noFill/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en-US" sz="5400" b="0" u="sng" cap="none" spc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Child</a:t>
          </a:r>
          <a:r>
            <a:rPr lang="en-US" sz="5400" b="0" u="sng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</a:t>
          </a:r>
          <a:r>
            <a:rPr lang="en-US" sz="5400" b="0" u="sng" cap="none" spc="0" baseline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Booking</a:t>
          </a:r>
          <a:endParaRPr lang="en-US" sz="5400" b="0" u="sng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0</xdr:rowOff>
        </xdr:from>
        <xdr:to>
          <xdr:col>10</xdr:col>
          <xdr:colOff>685800</xdr:colOff>
          <xdr:row>9</xdr:row>
          <xdr:rowOff>333375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Adult Tickets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9</xdr:row>
          <xdr:rowOff>523875</xdr:rowOff>
        </xdr:from>
        <xdr:to>
          <xdr:col>10</xdr:col>
          <xdr:colOff>676275</xdr:colOff>
          <xdr:row>10</xdr:row>
          <xdr:rowOff>76200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Student Priced Tickets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10</xdr:row>
          <xdr:rowOff>247650</xdr:rowOff>
        </xdr:from>
        <xdr:to>
          <xdr:col>10</xdr:col>
          <xdr:colOff>695325</xdr:colOff>
          <xdr:row>11</xdr:row>
          <xdr:rowOff>314325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/ Benefits Priced Tickets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12</xdr:row>
          <xdr:rowOff>57150</xdr:rowOff>
        </xdr:from>
        <xdr:to>
          <xdr:col>10</xdr:col>
          <xdr:colOff>704850</xdr:colOff>
          <xdr:row>13</xdr:row>
          <xdr:rowOff>95250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Child Priced Tickets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312965</xdr:colOff>
      <xdr:row>1</xdr:row>
      <xdr:rowOff>95250</xdr:rowOff>
    </xdr:from>
    <xdr:to>
      <xdr:col>10</xdr:col>
      <xdr:colOff>762000</xdr:colOff>
      <xdr:row>3</xdr:row>
      <xdr:rowOff>54429</xdr:rowOff>
    </xdr:to>
    <xdr:sp macro="" textlink="">
      <xdr:nvSpPr>
        <xdr:cNvPr id="5" name="TextBox 4"/>
        <xdr:cNvSpPr txBox="1"/>
      </xdr:nvSpPr>
      <xdr:spPr>
        <a:xfrm>
          <a:off x="20832536" y="285750"/>
          <a:ext cx="2027464" cy="340179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u="sng">
              <a:solidFill>
                <a:schemeClr val="bg1"/>
              </a:solidFill>
            </a:rPr>
            <a:t>Quick Find Buttons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624417</xdr:colOff>
      <xdr:row>9</xdr:row>
      <xdr:rowOff>107950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62667" cy="1303867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1268422</xdr:colOff>
      <xdr:row>1</xdr:row>
      <xdr:rowOff>0</xdr:rowOff>
    </xdr:from>
    <xdr:ext cx="3269549" cy="781111"/>
    <xdr:sp macro="" textlink="">
      <xdr:nvSpPr>
        <xdr:cNvPr id="2" name="Rectangle 1"/>
        <xdr:cNvSpPr/>
      </xdr:nvSpPr>
      <xdr:spPr>
        <a:xfrm>
          <a:off x="6069022" y="190500"/>
          <a:ext cx="326954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1" i="0" u="sng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Trips Timings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2</xdr:row>
          <xdr:rowOff>76200</xdr:rowOff>
        </xdr:from>
        <xdr:to>
          <xdr:col>6</xdr:col>
          <xdr:colOff>2428875</xdr:colOff>
          <xdr:row>4</xdr:row>
          <xdr:rowOff>95250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7</xdr:row>
      <xdr:rowOff>37148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71675" cy="1380173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735564</xdr:colOff>
      <xdr:row>5</xdr:row>
      <xdr:rowOff>116417</xdr:rowOff>
    </xdr:from>
    <xdr:ext cx="4972387" cy="781111"/>
    <xdr:sp macro="" textlink="">
      <xdr:nvSpPr>
        <xdr:cNvPr id="2" name="Rectangle 1"/>
        <xdr:cNvSpPr/>
      </xdr:nvSpPr>
      <xdr:spPr>
        <a:xfrm>
          <a:off x="3040614" y="1068917"/>
          <a:ext cx="4972387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1" i="0" u="sng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Annual Membership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6</xdr:row>
          <xdr:rowOff>47625</xdr:rowOff>
        </xdr:from>
        <xdr:to>
          <xdr:col>8</xdr:col>
          <xdr:colOff>1019175</xdr:colOff>
          <xdr:row>8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1757098</xdr:colOff>
      <xdr:row>12</xdr:row>
      <xdr:rowOff>169485</xdr:rowOff>
    </xdr:from>
    <xdr:ext cx="2952485" cy="1396848"/>
    <xdr:sp macro="[0]!Rectangle2_Click" textlink="">
      <xdr:nvSpPr>
        <xdr:cNvPr id="3" name="Rectangle 2"/>
        <xdr:cNvSpPr/>
      </xdr:nvSpPr>
      <xdr:spPr>
        <a:xfrm>
          <a:off x="4074848" y="2455485"/>
          <a:ext cx="2952485" cy="1396848"/>
        </a:xfrm>
        <a:prstGeom prst="rect">
          <a:avLst/>
        </a:prstGeom>
        <a:solidFill>
          <a:srgbClr val="FFC000"/>
        </a:solidFill>
        <a:ln w="241300" cap="rnd" cmpd="tri">
          <a:solidFill>
            <a:schemeClr val="accent4">
              <a:lumMod val="75000"/>
            </a:schemeClr>
          </a:solidFill>
          <a:prstDash val="solid"/>
          <a:bevel/>
        </a:ln>
        <a:effectLst>
          <a:outerShdw blurRad="63500" sx="102000" sy="102000" algn="ctr" rotWithShape="0">
            <a:schemeClr val="tx1">
              <a:lumMod val="85000"/>
              <a:lumOff val="1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tlCol="0" anchor="ctr" anchorCtr="1">
          <a:noAutofit/>
        </a:bodyPr>
        <a:lstStyle/>
        <a:p>
          <a:pPr algn="ctr"/>
          <a:r>
            <a:rPr lang="en-GB" sz="1800" u="sng">
              <a:solidFill>
                <a:schemeClr val="tx1"/>
              </a:solidFill>
              <a:latin typeface="Calisto MT" panose="02040603050505030304" pitchFamily="18" charset="0"/>
              <a:cs typeface="Adobe Hebrew" pitchFamily="18" charset="-79"/>
            </a:rPr>
            <a:t>Click</a:t>
          </a:r>
          <a:r>
            <a:rPr lang="en-GB" sz="1800" u="sng" baseline="0">
              <a:solidFill>
                <a:schemeClr val="tx1"/>
              </a:solidFill>
              <a:latin typeface="Calisto MT" panose="02040603050505030304" pitchFamily="18" charset="0"/>
              <a:cs typeface="Adobe Hebrew" pitchFamily="18" charset="-79"/>
            </a:rPr>
            <a:t> to add Membership details</a:t>
          </a:r>
          <a:endParaRPr lang="en-GB" sz="1800" u="sng">
            <a:solidFill>
              <a:schemeClr val="tx1"/>
            </a:solidFill>
            <a:latin typeface="Calisto MT" panose="02040603050505030304" pitchFamily="18" charset="0"/>
            <a:cs typeface="Adobe Hebrew" pitchFamily="18" charset="-79"/>
          </a:endParaRPr>
        </a:p>
      </xdr:txBody>
    </xdr:sp>
    <xdr:clientData/>
  </xdr:oneCellAnchor>
  <xdr:twoCellAnchor editAs="oneCell">
    <xdr:from>
      <xdr:col>0</xdr:col>
      <xdr:colOff>21166</xdr:colOff>
      <xdr:row>0</xdr:row>
      <xdr:rowOff>10583</xdr:rowOff>
    </xdr:from>
    <xdr:to>
      <xdr:col>2</xdr:col>
      <xdr:colOff>984249</xdr:colOff>
      <xdr:row>8</xdr:row>
      <xdr:rowOff>20108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6" y="10583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6</xdr:row>
          <xdr:rowOff>180975</xdr:rowOff>
        </xdr:from>
        <xdr:to>
          <xdr:col>7</xdr:col>
          <xdr:colOff>942975</xdr:colOff>
          <xdr:row>7</xdr:row>
          <xdr:rowOff>180975</xdr:rowOff>
        </xdr:to>
        <xdr:sp macro="" textlink="">
          <xdr:nvSpPr>
            <xdr:cNvPr id="22675" name="Check Box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7</xdr:row>
          <xdr:rowOff>180975</xdr:rowOff>
        </xdr:from>
        <xdr:to>
          <xdr:col>7</xdr:col>
          <xdr:colOff>866775</xdr:colOff>
          <xdr:row>9</xdr:row>
          <xdr:rowOff>0</xdr:rowOff>
        </xdr:to>
        <xdr:sp macro="" textlink="">
          <xdr:nvSpPr>
            <xdr:cNvPr id="22676" name="Check Box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8</xdr:row>
          <xdr:rowOff>180975</xdr:rowOff>
        </xdr:from>
        <xdr:to>
          <xdr:col>7</xdr:col>
          <xdr:colOff>866775</xdr:colOff>
          <xdr:row>10</xdr:row>
          <xdr:rowOff>0</xdr:rowOff>
        </xdr:to>
        <xdr:sp macro="" textlink="">
          <xdr:nvSpPr>
            <xdr:cNvPr id="22677" name="Check Box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9</xdr:row>
          <xdr:rowOff>152400</xdr:rowOff>
        </xdr:from>
        <xdr:to>
          <xdr:col>7</xdr:col>
          <xdr:colOff>866775</xdr:colOff>
          <xdr:row>10</xdr:row>
          <xdr:rowOff>171450</xdr:rowOff>
        </xdr:to>
        <xdr:sp macro="" textlink="">
          <xdr:nvSpPr>
            <xdr:cNvPr id="22678" name="Check Box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10</xdr:row>
          <xdr:rowOff>152400</xdr:rowOff>
        </xdr:from>
        <xdr:to>
          <xdr:col>7</xdr:col>
          <xdr:colOff>885825</xdr:colOff>
          <xdr:row>12</xdr:row>
          <xdr:rowOff>0</xdr:rowOff>
        </xdr:to>
        <xdr:sp macro="" textlink="">
          <xdr:nvSpPr>
            <xdr:cNvPr id="22679" name="Check Box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11</xdr:row>
          <xdr:rowOff>161925</xdr:rowOff>
        </xdr:from>
        <xdr:to>
          <xdr:col>7</xdr:col>
          <xdr:colOff>895350</xdr:colOff>
          <xdr:row>12</xdr:row>
          <xdr:rowOff>180975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12</xdr:row>
          <xdr:rowOff>180975</xdr:rowOff>
        </xdr:from>
        <xdr:to>
          <xdr:col>7</xdr:col>
          <xdr:colOff>857250</xdr:colOff>
          <xdr:row>14</xdr:row>
          <xdr:rowOff>9525</xdr:rowOff>
        </xdr:to>
        <xdr:sp macro="" textlink="">
          <xdr:nvSpPr>
            <xdr:cNvPr id="22681" name="Check Box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171450</xdr:rowOff>
        </xdr:from>
        <xdr:to>
          <xdr:col>7</xdr:col>
          <xdr:colOff>866775</xdr:colOff>
          <xdr:row>14</xdr:row>
          <xdr:rowOff>180975</xdr:rowOff>
        </xdr:to>
        <xdr:sp macro="" textlink="">
          <xdr:nvSpPr>
            <xdr:cNvPr id="22682" name="Check Box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14</xdr:row>
          <xdr:rowOff>161925</xdr:rowOff>
        </xdr:from>
        <xdr:to>
          <xdr:col>8</xdr:col>
          <xdr:colOff>447675</xdr:colOff>
          <xdr:row>15</xdr:row>
          <xdr:rowOff>180975</xdr:rowOff>
        </xdr:to>
        <xdr:sp macro="" textlink="">
          <xdr:nvSpPr>
            <xdr:cNvPr id="22683" name="Check Box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16</xdr:row>
          <xdr:rowOff>0</xdr:rowOff>
        </xdr:from>
        <xdr:to>
          <xdr:col>7</xdr:col>
          <xdr:colOff>885825</xdr:colOff>
          <xdr:row>17</xdr:row>
          <xdr:rowOff>19050</xdr:rowOff>
        </xdr:to>
        <xdr:sp macro="" textlink="">
          <xdr:nvSpPr>
            <xdr:cNvPr id="22684" name="Check Box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16</xdr:row>
          <xdr:rowOff>180975</xdr:rowOff>
        </xdr:from>
        <xdr:to>
          <xdr:col>7</xdr:col>
          <xdr:colOff>914400</xdr:colOff>
          <xdr:row>17</xdr:row>
          <xdr:rowOff>180975</xdr:rowOff>
        </xdr:to>
        <xdr:sp macro="" textlink="">
          <xdr:nvSpPr>
            <xdr:cNvPr id="22685" name="Check Box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17</xdr:row>
          <xdr:rowOff>171450</xdr:rowOff>
        </xdr:from>
        <xdr:to>
          <xdr:col>7</xdr:col>
          <xdr:colOff>885825</xdr:colOff>
          <xdr:row>18</xdr:row>
          <xdr:rowOff>180975</xdr:rowOff>
        </xdr:to>
        <xdr:sp macro="" textlink="">
          <xdr:nvSpPr>
            <xdr:cNvPr id="22686" name="Check Box 158" hidden="1">
              <a:extLst>
                <a:ext uri="{63B3BB69-23CF-44E3-9099-C40C66FF867C}">
                  <a14:compatExt spid="_x0000_s2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180975</xdr:rowOff>
        </xdr:from>
        <xdr:to>
          <xdr:col>7</xdr:col>
          <xdr:colOff>857250</xdr:colOff>
          <xdr:row>20</xdr:row>
          <xdr:rowOff>0</xdr:rowOff>
        </xdr:to>
        <xdr:sp macro="" textlink="">
          <xdr:nvSpPr>
            <xdr:cNvPr id="22687" name="Check Box 159" hidden="1">
              <a:extLst>
                <a:ext uri="{63B3BB69-23CF-44E3-9099-C40C66FF867C}">
                  <a14:compatExt spid="_x0000_s2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20</xdr:row>
          <xdr:rowOff>9525</xdr:rowOff>
        </xdr:from>
        <xdr:to>
          <xdr:col>7</xdr:col>
          <xdr:colOff>828675</xdr:colOff>
          <xdr:row>21</xdr:row>
          <xdr:rowOff>9525</xdr:rowOff>
        </xdr:to>
        <xdr:sp macro="" textlink="">
          <xdr:nvSpPr>
            <xdr:cNvPr id="22688" name="Check Box 160" hidden="1">
              <a:extLst>
                <a:ext uri="{63B3BB69-23CF-44E3-9099-C40C66FF867C}">
                  <a14:compatExt spid="_x0000_s22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20</xdr:row>
          <xdr:rowOff>161925</xdr:rowOff>
        </xdr:from>
        <xdr:to>
          <xdr:col>7</xdr:col>
          <xdr:colOff>857250</xdr:colOff>
          <xdr:row>21</xdr:row>
          <xdr:rowOff>180975</xdr:rowOff>
        </xdr:to>
        <xdr:sp macro="" textlink="">
          <xdr:nvSpPr>
            <xdr:cNvPr id="22689" name="Check Box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21</xdr:row>
          <xdr:rowOff>161925</xdr:rowOff>
        </xdr:from>
        <xdr:to>
          <xdr:col>7</xdr:col>
          <xdr:colOff>885825</xdr:colOff>
          <xdr:row>23</xdr:row>
          <xdr:rowOff>9525</xdr:rowOff>
        </xdr:to>
        <xdr:sp macro="" textlink="">
          <xdr:nvSpPr>
            <xdr:cNvPr id="22690" name="Check Box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22</xdr:row>
          <xdr:rowOff>161925</xdr:rowOff>
        </xdr:from>
        <xdr:to>
          <xdr:col>7</xdr:col>
          <xdr:colOff>885825</xdr:colOff>
          <xdr:row>24</xdr:row>
          <xdr:rowOff>0</xdr:rowOff>
        </xdr:to>
        <xdr:sp macro="" textlink="">
          <xdr:nvSpPr>
            <xdr:cNvPr id="22691" name="Check Box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23</xdr:row>
          <xdr:rowOff>180975</xdr:rowOff>
        </xdr:from>
        <xdr:to>
          <xdr:col>7</xdr:col>
          <xdr:colOff>885825</xdr:colOff>
          <xdr:row>25</xdr:row>
          <xdr:rowOff>9525</xdr:rowOff>
        </xdr:to>
        <xdr:sp macro="" textlink="">
          <xdr:nvSpPr>
            <xdr:cNvPr id="22692" name="Check Box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24</xdr:row>
          <xdr:rowOff>171450</xdr:rowOff>
        </xdr:from>
        <xdr:to>
          <xdr:col>7</xdr:col>
          <xdr:colOff>866775</xdr:colOff>
          <xdr:row>25</xdr:row>
          <xdr:rowOff>180975</xdr:rowOff>
        </xdr:to>
        <xdr:sp macro="" textlink="">
          <xdr:nvSpPr>
            <xdr:cNvPr id="22693" name="Check Box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25</xdr:row>
          <xdr:rowOff>180975</xdr:rowOff>
        </xdr:from>
        <xdr:to>
          <xdr:col>7</xdr:col>
          <xdr:colOff>847725</xdr:colOff>
          <xdr:row>27</xdr:row>
          <xdr:rowOff>0</xdr:rowOff>
        </xdr:to>
        <xdr:sp macro="" textlink="">
          <xdr:nvSpPr>
            <xdr:cNvPr id="22694" name="Check Box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5</xdr:row>
          <xdr:rowOff>180975</xdr:rowOff>
        </xdr:from>
        <xdr:to>
          <xdr:col>7</xdr:col>
          <xdr:colOff>981075</xdr:colOff>
          <xdr:row>7</xdr:row>
          <xdr:rowOff>0</xdr:rowOff>
        </xdr:to>
        <xdr:sp macro="" textlink="">
          <xdr:nvSpPr>
            <xdr:cNvPr id="22695" name="Check Box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4</xdr:row>
          <xdr:rowOff>161925</xdr:rowOff>
        </xdr:from>
        <xdr:to>
          <xdr:col>7</xdr:col>
          <xdr:colOff>952500</xdr:colOff>
          <xdr:row>6</xdr:row>
          <xdr:rowOff>0</xdr:rowOff>
        </xdr:to>
        <xdr:sp macro="" textlink="">
          <xdr:nvSpPr>
            <xdr:cNvPr id="22696" name="Check Box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5</xdr:row>
          <xdr:rowOff>171450</xdr:rowOff>
        </xdr:from>
        <xdr:to>
          <xdr:col>8</xdr:col>
          <xdr:colOff>828675</xdr:colOff>
          <xdr:row>7</xdr:row>
          <xdr:rowOff>0</xdr:rowOff>
        </xdr:to>
        <xdr:sp macro="" textlink="">
          <xdr:nvSpPr>
            <xdr:cNvPr id="22697" name="Check Box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8</xdr:col>
          <xdr:colOff>828675</xdr:colOff>
          <xdr:row>8</xdr:row>
          <xdr:rowOff>9525</xdr:rowOff>
        </xdr:to>
        <xdr:sp macro="" textlink="">
          <xdr:nvSpPr>
            <xdr:cNvPr id="22698" name="Check Box 170" hidden="1">
              <a:extLst>
                <a:ext uri="{63B3BB69-23CF-44E3-9099-C40C66FF867C}">
                  <a14:compatExt spid="_x0000_s22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7</xdr:row>
          <xdr:rowOff>171450</xdr:rowOff>
        </xdr:from>
        <xdr:to>
          <xdr:col>8</xdr:col>
          <xdr:colOff>828675</xdr:colOff>
          <xdr:row>9</xdr:row>
          <xdr:rowOff>0</xdr:rowOff>
        </xdr:to>
        <xdr:sp macro="" textlink="">
          <xdr:nvSpPr>
            <xdr:cNvPr id="22699" name="Check Box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9</xdr:row>
          <xdr:rowOff>0</xdr:rowOff>
        </xdr:from>
        <xdr:to>
          <xdr:col>8</xdr:col>
          <xdr:colOff>828675</xdr:colOff>
          <xdr:row>10</xdr:row>
          <xdr:rowOff>19050</xdr:rowOff>
        </xdr:to>
        <xdr:sp macro="" textlink="">
          <xdr:nvSpPr>
            <xdr:cNvPr id="22700" name="Check Box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10</xdr:row>
          <xdr:rowOff>180975</xdr:rowOff>
        </xdr:from>
        <xdr:to>
          <xdr:col>8</xdr:col>
          <xdr:colOff>828675</xdr:colOff>
          <xdr:row>12</xdr:row>
          <xdr:rowOff>0</xdr:rowOff>
        </xdr:to>
        <xdr:sp macro="" textlink="">
          <xdr:nvSpPr>
            <xdr:cNvPr id="22701" name="Check Box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11</xdr:row>
          <xdr:rowOff>180975</xdr:rowOff>
        </xdr:from>
        <xdr:to>
          <xdr:col>8</xdr:col>
          <xdr:colOff>828675</xdr:colOff>
          <xdr:row>13</xdr:row>
          <xdr:rowOff>9525</xdr:rowOff>
        </xdr:to>
        <xdr:sp macro="" textlink="">
          <xdr:nvSpPr>
            <xdr:cNvPr id="22702" name="Check Box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12</xdr:row>
          <xdr:rowOff>171450</xdr:rowOff>
        </xdr:from>
        <xdr:to>
          <xdr:col>8</xdr:col>
          <xdr:colOff>828675</xdr:colOff>
          <xdr:row>14</xdr:row>
          <xdr:rowOff>0</xdr:rowOff>
        </xdr:to>
        <xdr:sp macro="" textlink="">
          <xdr:nvSpPr>
            <xdr:cNvPr id="22703" name="Check Box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13</xdr:row>
          <xdr:rowOff>180975</xdr:rowOff>
        </xdr:from>
        <xdr:to>
          <xdr:col>8</xdr:col>
          <xdr:colOff>828675</xdr:colOff>
          <xdr:row>15</xdr:row>
          <xdr:rowOff>9525</xdr:rowOff>
        </xdr:to>
        <xdr:sp macro="" textlink="">
          <xdr:nvSpPr>
            <xdr:cNvPr id="22704" name="Check Box 176" hidden="1">
              <a:extLst>
                <a:ext uri="{63B3BB69-23CF-44E3-9099-C40C66FF867C}">
                  <a14:compatExt spid="_x0000_s22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14</xdr:row>
          <xdr:rowOff>161925</xdr:rowOff>
        </xdr:from>
        <xdr:to>
          <xdr:col>8</xdr:col>
          <xdr:colOff>828675</xdr:colOff>
          <xdr:row>15</xdr:row>
          <xdr:rowOff>180975</xdr:rowOff>
        </xdr:to>
        <xdr:sp macro="" textlink="">
          <xdr:nvSpPr>
            <xdr:cNvPr id="22705" name="Check Box 177" hidden="1">
              <a:extLst>
                <a:ext uri="{63B3BB69-23CF-44E3-9099-C40C66FF867C}">
                  <a14:compatExt spid="_x0000_s2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15</xdr:row>
          <xdr:rowOff>161925</xdr:rowOff>
        </xdr:from>
        <xdr:to>
          <xdr:col>8</xdr:col>
          <xdr:colOff>828675</xdr:colOff>
          <xdr:row>16</xdr:row>
          <xdr:rowOff>180975</xdr:rowOff>
        </xdr:to>
        <xdr:sp macro="" textlink="">
          <xdr:nvSpPr>
            <xdr:cNvPr id="22706" name="Check Box 178" hidden="1">
              <a:extLst>
                <a:ext uri="{63B3BB69-23CF-44E3-9099-C40C66FF867C}">
                  <a14:compatExt spid="_x0000_s2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17</xdr:row>
          <xdr:rowOff>0</xdr:rowOff>
        </xdr:from>
        <xdr:to>
          <xdr:col>8</xdr:col>
          <xdr:colOff>828675</xdr:colOff>
          <xdr:row>18</xdr:row>
          <xdr:rowOff>19050</xdr:rowOff>
        </xdr:to>
        <xdr:sp macro="" textlink="">
          <xdr:nvSpPr>
            <xdr:cNvPr id="22707" name="Check Box 179" hidden="1">
              <a:extLst>
                <a:ext uri="{63B3BB69-23CF-44E3-9099-C40C66FF867C}">
                  <a14:compatExt spid="_x0000_s2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17</xdr:row>
          <xdr:rowOff>180975</xdr:rowOff>
        </xdr:from>
        <xdr:to>
          <xdr:col>8</xdr:col>
          <xdr:colOff>828675</xdr:colOff>
          <xdr:row>19</xdr:row>
          <xdr:rowOff>9525</xdr:rowOff>
        </xdr:to>
        <xdr:sp macro="" textlink="">
          <xdr:nvSpPr>
            <xdr:cNvPr id="22708" name="Check Box 180" hidden="1">
              <a:extLst>
                <a:ext uri="{63B3BB69-23CF-44E3-9099-C40C66FF867C}">
                  <a14:compatExt spid="_x0000_s2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18</xdr:row>
          <xdr:rowOff>171450</xdr:rowOff>
        </xdr:from>
        <xdr:to>
          <xdr:col>8</xdr:col>
          <xdr:colOff>828675</xdr:colOff>
          <xdr:row>20</xdr:row>
          <xdr:rowOff>0</xdr:rowOff>
        </xdr:to>
        <xdr:sp macro="" textlink="">
          <xdr:nvSpPr>
            <xdr:cNvPr id="22709" name="Check Box 181" hidden="1">
              <a:extLst>
                <a:ext uri="{63B3BB69-23CF-44E3-9099-C40C66FF867C}">
                  <a14:compatExt spid="_x0000_s22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19</xdr:row>
          <xdr:rowOff>161925</xdr:rowOff>
        </xdr:from>
        <xdr:to>
          <xdr:col>8</xdr:col>
          <xdr:colOff>828675</xdr:colOff>
          <xdr:row>20</xdr:row>
          <xdr:rowOff>180975</xdr:rowOff>
        </xdr:to>
        <xdr:sp macro="" textlink="">
          <xdr:nvSpPr>
            <xdr:cNvPr id="22710" name="Check Box 182" hidden="1">
              <a:extLst>
                <a:ext uri="{63B3BB69-23CF-44E3-9099-C40C66FF867C}">
                  <a14:compatExt spid="_x0000_s22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20</xdr:row>
          <xdr:rowOff>171450</xdr:rowOff>
        </xdr:from>
        <xdr:to>
          <xdr:col>8</xdr:col>
          <xdr:colOff>828675</xdr:colOff>
          <xdr:row>22</xdr:row>
          <xdr:rowOff>0</xdr:rowOff>
        </xdr:to>
        <xdr:sp macro="" textlink="">
          <xdr:nvSpPr>
            <xdr:cNvPr id="22711" name="Check Box 183" hidden="1">
              <a:extLst>
                <a:ext uri="{63B3BB69-23CF-44E3-9099-C40C66FF867C}">
                  <a14:compatExt spid="_x0000_s22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21</xdr:row>
          <xdr:rowOff>161925</xdr:rowOff>
        </xdr:from>
        <xdr:to>
          <xdr:col>8</xdr:col>
          <xdr:colOff>828675</xdr:colOff>
          <xdr:row>22</xdr:row>
          <xdr:rowOff>180975</xdr:rowOff>
        </xdr:to>
        <xdr:sp macro="" textlink="">
          <xdr:nvSpPr>
            <xdr:cNvPr id="22712" name="Check Box 184" hidden="1">
              <a:extLst>
                <a:ext uri="{63B3BB69-23CF-44E3-9099-C40C66FF867C}">
                  <a14:compatExt spid="_x0000_s22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22</xdr:row>
          <xdr:rowOff>161925</xdr:rowOff>
        </xdr:from>
        <xdr:to>
          <xdr:col>8</xdr:col>
          <xdr:colOff>828675</xdr:colOff>
          <xdr:row>23</xdr:row>
          <xdr:rowOff>180975</xdr:rowOff>
        </xdr:to>
        <xdr:sp macro="" textlink="">
          <xdr:nvSpPr>
            <xdr:cNvPr id="22713" name="Check Box 185" hidden="1">
              <a:extLst>
                <a:ext uri="{63B3BB69-23CF-44E3-9099-C40C66FF867C}">
                  <a14:compatExt spid="_x0000_s22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23</xdr:row>
          <xdr:rowOff>161925</xdr:rowOff>
        </xdr:from>
        <xdr:to>
          <xdr:col>8</xdr:col>
          <xdr:colOff>828675</xdr:colOff>
          <xdr:row>24</xdr:row>
          <xdr:rowOff>180975</xdr:rowOff>
        </xdr:to>
        <xdr:sp macro="" textlink="">
          <xdr:nvSpPr>
            <xdr:cNvPr id="22714" name="Check Box 186" hidden="1">
              <a:extLst>
                <a:ext uri="{63B3BB69-23CF-44E3-9099-C40C66FF867C}">
                  <a14:compatExt spid="_x0000_s22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25</xdr:row>
          <xdr:rowOff>0</xdr:rowOff>
        </xdr:from>
        <xdr:to>
          <xdr:col>8</xdr:col>
          <xdr:colOff>828675</xdr:colOff>
          <xdr:row>26</xdr:row>
          <xdr:rowOff>19050</xdr:rowOff>
        </xdr:to>
        <xdr:sp macro="" textlink="">
          <xdr:nvSpPr>
            <xdr:cNvPr id="22715" name="Check Box 187" hidden="1">
              <a:extLst>
                <a:ext uri="{63B3BB69-23CF-44E3-9099-C40C66FF867C}">
                  <a14:compatExt spid="_x0000_s22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26</xdr:row>
          <xdr:rowOff>9525</xdr:rowOff>
        </xdr:from>
        <xdr:to>
          <xdr:col>8</xdr:col>
          <xdr:colOff>828675</xdr:colOff>
          <xdr:row>27</xdr:row>
          <xdr:rowOff>28575</xdr:rowOff>
        </xdr:to>
        <xdr:sp macro="" textlink="">
          <xdr:nvSpPr>
            <xdr:cNvPr id="22716" name="Check Box 188" hidden="1">
              <a:extLst>
                <a:ext uri="{63B3BB69-23CF-44E3-9099-C40C66FF867C}">
                  <a14:compatExt spid="_x0000_s22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4</xdr:row>
          <xdr:rowOff>171450</xdr:rowOff>
        </xdr:from>
        <xdr:to>
          <xdr:col>8</xdr:col>
          <xdr:colOff>876300</xdr:colOff>
          <xdr:row>6</xdr:row>
          <xdr:rowOff>0</xdr:rowOff>
        </xdr:to>
        <xdr:sp macro="" textlink="">
          <xdr:nvSpPr>
            <xdr:cNvPr id="22717" name="Check Box 189" hidden="1">
              <a:extLst>
                <a:ext uri="{63B3BB69-23CF-44E3-9099-C40C66FF867C}">
                  <a14:compatExt spid="_x0000_s22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3</xdr:row>
          <xdr:rowOff>161925</xdr:rowOff>
        </xdr:from>
        <xdr:to>
          <xdr:col>8</xdr:col>
          <xdr:colOff>1000125</xdr:colOff>
          <xdr:row>5</xdr:row>
          <xdr:rowOff>9525</xdr:rowOff>
        </xdr:to>
        <xdr:sp macro="" textlink="">
          <xdr:nvSpPr>
            <xdr:cNvPr id="22718" name="Check Box 190" hidden="1">
              <a:extLst>
                <a:ext uri="{63B3BB69-23CF-44E3-9099-C40C66FF867C}">
                  <a14:compatExt spid="_x0000_s22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4</xdr:row>
          <xdr:rowOff>180975</xdr:rowOff>
        </xdr:from>
        <xdr:to>
          <xdr:col>10</xdr:col>
          <xdr:colOff>323850</xdr:colOff>
          <xdr:row>6</xdr:row>
          <xdr:rowOff>19050</xdr:rowOff>
        </xdr:to>
        <xdr:sp macro="" textlink="">
          <xdr:nvSpPr>
            <xdr:cNvPr id="22719" name="Check Box 191" hidden="1">
              <a:extLst>
                <a:ext uri="{63B3BB69-23CF-44E3-9099-C40C66FF867C}">
                  <a14:compatExt spid="_x0000_s22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5</xdr:row>
          <xdr:rowOff>161925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22720" name="Check Box 192" hidden="1">
              <a:extLst>
                <a:ext uri="{63B3BB69-23CF-44E3-9099-C40C66FF867C}">
                  <a14:compatExt spid="_x0000_s22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6</xdr:row>
          <xdr:rowOff>161925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22721" name="Check Box 193" hidden="1">
              <a:extLst>
                <a:ext uri="{63B3BB69-23CF-44E3-9099-C40C66FF867C}">
                  <a14:compatExt spid="_x0000_s2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7</xdr:row>
          <xdr:rowOff>171450</xdr:rowOff>
        </xdr:from>
        <xdr:to>
          <xdr:col>10</xdr:col>
          <xdr:colOff>323850</xdr:colOff>
          <xdr:row>9</xdr:row>
          <xdr:rowOff>28575</xdr:rowOff>
        </xdr:to>
        <xdr:sp macro="" textlink="">
          <xdr:nvSpPr>
            <xdr:cNvPr id="22722" name="Check Box 194" hidden="1">
              <a:extLst>
                <a:ext uri="{63B3BB69-23CF-44E3-9099-C40C66FF867C}">
                  <a14:compatExt spid="_x0000_s22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8</xdr:row>
          <xdr:rowOff>171450</xdr:rowOff>
        </xdr:from>
        <xdr:to>
          <xdr:col>10</xdr:col>
          <xdr:colOff>323850</xdr:colOff>
          <xdr:row>10</xdr:row>
          <xdr:rowOff>28575</xdr:rowOff>
        </xdr:to>
        <xdr:sp macro="" textlink="">
          <xdr:nvSpPr>
            <xdr:cNvPr id="22723" name="Check Box 195" hidden="1">
              <a:extLst>
                <a:ext uri="{63B3BB69-23CF-44E3-9099-C40C66FF867C}">
                  <a14:compatExt spid="_x0000_s22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10</xdr:row>
          <xdr:rowOff>0</xdr:rowOff>
        </xdr:from>
        <xdr:to>
          <xdr:col>10</xdr:col>
          <xdr:colOff>323850</xdr:colOff>
          <xdr:row>11</xdr:row>
          <xdr:rowOff>38100</xdr:rowOff>
        </xdr:to>
        <xdr:sp macro="" textlink="">
          <xdr:nvSpPr>
            <xdr:cNvPr id="22724" name="Check Box 196" hidden="1">
              <a:extLst>
                <a:ext uri="{63B3BB69-23CF-44E3-9099-C40C66FF867C}">
                  <a14:compatExt spid="_x0000_s22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11</xdr:row>
          <xdr:rowOff>171450</xdr:rowOff>
        </xdr:from>
        <xdr:to>
          <xdr:col>10</xdr:col>
          <xdr:colOff>323850</xdr:colOff>
          <xdr:row>13</xdr:row>
          <xdr:rowOff>19050</xdr:rowOff>
        </xdr:to>
        <xdr:sp macro="" textlink="">
          <xdr:nvSpPr>
            <xdr:cNvPr id="22725" name="Check Box 197" hidden="1">
              <a:extLst>
                <a:ext uri="{63B3BB69-23CF-44E3-9099-C40C66FF867C}">
                  <a14:compatExt spid="_x0000_s22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22</xdr:row>
          <xdr:rowOff>171450</xdr:rowOff>
        </xdr:from>
        <xdr:to>
          <xdr:col>9</xdr:col>
          <xdr:colOff>1600200</xdr:colOff>
          <xdr:row>23</xdr:row>
          <xdr:rowOff>171450</xdr:rowOff>
        </xdr:to>
        <xdr:sp macro="" textlink="">
          <xdr:nvSpPr>
            <xdr:cNvPr id="22726" name="Check Box 198" hidden="1">
              <a:extLst>
                <a:ext uri="{63B3BB69-23CF-44E3-9099-C40C66FF867C}">
                  <a14:compatExt spid="_x0000_s22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12</xdr:row>
          <xdr:rowOff>180975</xdr:rowOff>
        </xdr:from>
        <xdr:to>
          <xdr:col>10</xdr:col>
          <xdr:colOff>323850</xdr:colOff>
          <xdr:row>14</xdr:row>
          <xdr:rowOff>28575</xdr:rowOff>
        </xdr:to>
        <xdr:sp macro="" textlink="">
          <xdr:nvSpPr>
            <xdr:cNvPr id="22727" name="Check Box 199" hidden="1">
              <a:extLst>
                <a:ext uri="{63B3BB69-23CF-44E3-9099-C40C66FF867C}">
                  <a14:compatExt spid="_x0000_s22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13</xdr:row>
          <xdr:rowOff>180975</xdr:rowOff>
        </xdr:from>
        <xdr:to>
          <xdr:col>10</xdr:col>
          <xdr:colOff>323850</xdr:colOff>
          <xdr:row>15</xdr:row>
          <xdr:rowOff>28575</xdr:rowOff>
        </xdr:to>
        <xdr:sp macro="" textlink="">
          <xdr:nvSpPr>
            <xdr:cNvPr id="22728" name="Check Box 200" hidden="1">
              <a:extLst>
                <a:ext uri="{63B3BB69-23CF-44E3-9099-C40C66FF867C}">
                  <a14:compatExt spid="_x0000_s22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14</xdr:row>
          <xdr:rowOff>171450</xdr:rowOff>
        </xdr:from>
        <xdr:to>
          <xdr:col>10</xdr:col>
          <xdr:colOff>323850</xdr:colOff>
          <xdr:row>16</xdr:row>
          <xdr:rowOff>19050</xdr:rowOff>
        </xdr:to>
        <xdr:sp macro="" textlink="">
          <xdr:nvSpPr>
            <xdr:cNvPr id="22729" name="Check Box 201" hidden="1">
              <a:extLst>
                <a:ext uri="{63B3BB69-23CF-44E3-9099-C40C66FF867C}">
                  <a14:compatExt spid="_x0000_s22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15</xdr:row>
          <xdr:rowOff>171450</xdr:rowOff>
        </xdr:from>
        <xdr:to>
          <xdr:col>10</xdr:col>
          <xdr:colOff>323850</xdr:colOff>
          <xdr:row>17</xdr:row>
          <xdr:rowOff>19050</xdr:rowOff>
        </xdr:to>
        <xdr:sp macro="" textlink="">
          <xdr:nvSpPr>
            <xdr:cNvPr id="22730" name="Check Box 202" hidden="1">
              <a:extLst>
                <a:ext uri="{63B3BB69-23CF-44E3-9099-C40C66FF867C}">
                  <a14:compatExt spid="_x0000_s22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16</xdr:row>
          <xdr:rowOff>161925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22731" name="Check Box 203" hidden="1">
              <a:extLst>
                <a:ext uri="{63B3BB69-23CF-44E3-9099-C40C66FF867C}">
                  <a14:compatExt spid="_x0000_s22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17</xdr:row>
          <xdr:rowOff>171450</xdr:rowOff>
        </xdr:from>
        <xdr:to>
          <xdr:col>10</xdr:col>
          <xdr:colOff>323850</xdr:colOff>
          <xdr:row>19</xdr:row>
          <xdr:rowOff>19050</xdr:rowOff>
        </xdr:to>
        <xdr:sp macro="" textlink="">
          <xdr:nvSpPr>
            <xdr:cNvPr id="22732" name="Check Box 204" hidden="1">
              <a:extLst>
                <a:ext uri="{63B3BB69-23CF-44E3-9099-C40C66FF867C}">
                  <a14:compatExt spid="_x0000_s22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18</xdr:row>
          <xdr:rowOff>161925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22733" name="Check Box 205" hidden="1">
              <a:extLst>
                <a:ext uri="{63B3BB69-23CF-44E3-9099-C40C66FF867C}">
                  <a14:compatExt spid="_x0000_s22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19</xdr:row>
          <xdr:rowOff>171450</xdr:rowOff>
        </xdr:from>
        <xdr:to>
          <xdr:col>10</xdr:col>
          <xdr:colOff>323850</xdr:colOff>
          <xdr:row>21</xdr:row>
          <xdr:rowOff>19050</xdr:rowOff>
        </xdr:to>
        <xdr:sp macro="" textlink="">
          <xdr:nvSpPr>
            <xdr:cNvPr id="22734" name="Check Box 206" hidden="1">
              <a:extLst>
                <a:ext uri="{63B3BB69-23CF-44E3-9099-C40C66FF867C}">
                  <a14:compatExt spid="_x0000_s22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20</xdr:row>
          <xdr:rowOff>161925</xdr:rowOff>
        </xdr:from>
        <xdr:to>
          <xdr:col>10</xdr:col>
          <xdr:colOff>323850</xdr:colOff>
          <xdr:row>22</xdr:row>
          <xdr:rowOff>9525</xdr:rowOff>
        </xdr:to>
        <xdr:sp macro="" textlink="">
          <xdr:nvSpPr>
            <xdr:cNvPr id="22735" name="Check Box 207" hidden="1">
              <a:extLst>
                <a:ext uri="{63B3BB69-23CF-44E3-9099-C40C66FF867C}">
                  <a14:compatExt spid="_x0000_s22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21</xdr:row>
          <xdr:rowOff>180975</xdr:rowOff>
        </xdr:from>
        <xdr:to>
          <xdr:col>10</xdr:col>
          <xdr:colOff>323850</xdr:colOff>
          <xdr:row>23</xdr:row>
          <xdr:rowOff>28575</xdr:rowOff>
        </xdr:to>
        <xdr:sp macro="" textlink="">
          <xdr:nvSpPr>
            <xdr:cNvPr id="22736" name="Check Box 208" hidden="1">
              <a:extLst>
                <a:ext uri="{63B3BB69-23CF-44E3-9099-C40C66FF867C}">
                  <a14:compatExt spid="_x0000_s22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</xdr:row>
          <xdr:rowOff>180975</xdr:rowOff>
        </xdr:from>
        <xdr:to>
          <xdr:col>10</xdr:col>
          <xdr:colOff>314325</xdr:colOff>
          <xdr:row>5</xdr:row>
          <xdr:rowOff>19050</xdr:rowOff>
        </xdr:to>
        <xdr:sp macro="" textlink="">
          <xdr:nvSpPr>
            <xdr:cNvPr id="22737" name="Check Box 209" hidden="1">
              <a:extLst>
                <a:ext uri="{63B3BB69-23CF-44E3-9099-C40C66FF867C}">
                  <a14:compatExt spid="_x0000_s2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23</xdr:row>
          <xdr:rowOff>161925</xdr:rowOff>
        </xdr:from>
        <xdr:to>
          <xdr:col>10</xdr:col>
          <xdr:colOff>323850</xdr:colOff>
          <xdr:row>25</xdr:row>
          <xdr:rowOff>9525</xdr:rowOff>
        </xdr:to>
        <xdr:sp macro="" textlink="">
          <xdr:nvSpPr>
            <xdr:cNvPr id="22738" name="Check Box 210" hidden="1">
              <a:extLst>
                <a:ext uri="{63B3BB69-23CF-44E3-9099-C40C66FF867C}">
                  <a14:compatExt spid="_x0000_s22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24</xdr:row>
          <xdr:rowOff>171450</xdr:rowOff>
        </xdr:from>
        <xdr:to>
          <xdr:col>10</xdr:col>
          <xdr:colOff>323850</xdr:colOff>
          <xdr:row>26</xdr:row>
          <xdr:rowOff>19050</xdr:rowOff>
        </xdr:to>
        <xdr:sp macro="" textlink="">
          <xdr:nvSpPr>
            <xdr:cNvPr id="22739" name="Check Box 211" hidden="1">
              <a:extLst>
                <a:ext uri="{63B3BB69-23CF-44E3-9099-C40C66FF867C}">
                  <a14:compatExt spid="_x0000_s22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26</xdr:row>
          <xdr:rowOff>9525</xdr:rowOff>
        </xdr:from>
        <xdr:to>
          <xdr:col>10</xdr:col>
          <xdr:colOff>323850</xdr:colOff>
          <xdr:row>27</xdr:row>
          <xdr:rowOff>47625</xdr:rowOff>
        </xdr:to>
        <xdr:sp macro="" textlink="">
          <xdr:nvSpPr>
            <xdr:cNvPr id="22740" name="Check Box 212" hidden="1">
              <a:extLst>
                <a:ext uri="{63B3BB69-23CF-44E3-9099-C40C66FF867C}">
                  <a14:compatExt spid="_x0000_s22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3</xdr:row>
          <xdr:rowOff>161925</xdr:rowOff>
        </xdr:from>
        <xdr:to>
          <xdr:col>7</xdr:col>
          <xdr:colOff>952500</xdr:colOff>
          <xdr:row>5</xdr:row>
          <xdr:rowOff>0</xdr:rowOff>
        </xdr:to>
        <xdr:sp macro="" textlink="">
          <xdr:nvSpPr>
            <xdr:cNvPr id="22741" name="Check Box 213" hidden="1">
              <a:extLst>
                <a:ext uri="{63B3BB69-23CF-44E3-9099-C40C66FF867C}">
                  <a14:compatExt spid="_x0000_s22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9</xdr:row>
          <xdr:rowOff>171450</xdr:rowOff>
        </xdr:from>
        <xdr:to>
          <xdr:col>8</xdr:col>
          <xdr:colOff>828675</xdr:colOff>
          <xdr:row>11</xdr:row>
          <xdr:rowOff>0</xdr:rowOff>
        </xdr:to>
        <xdr:sp macro="" textlink="">
          <xdr:nvSpPr>
            <xdr:cNvPr id="22742" name="Check Box 214" hidden="1">
              <a:extLst>
                <a:ext uri="{63B3BB69-23CF-44E3-9099-C40C66FF867C}">
                  <a14:compatExt spid="_x0000_s22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10</xdr:row>
          <xdr:rowOff>161925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2743" name="Check Box 215" hidden="1">
              <a:extLst>
                <a:ext uri="{63B3BB69-23CF-44E3-9099-C40C66FF867C}">
                  <a14:compatExt spid="_x0000_s22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27</xdr:row>
          <xdr:rowOff>28575</xdr:rowOff>
        </xdr:from>
        <xdr:to>
          <xdr:col>7</xdr:col>
          <xdr:colOff>819150</xdr:colOff>
          <xdr:row>28</xdr:row>
          <xdr:rowOff>28575</xdr:rowOff>
        </xdr:to>
        <xdr:sp macro="" textlink="">
          <xdr:nvSpPr>
            <xdr:cNvPr id="22744" name="Check Box 216" hidden="1">
              <a:extLst>
                <a:ext uri="{63B3BB69-23CF-44E3-9099-C40C66FF867C}">
                  <a14:compatExt spid="_x0000_s22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28</xdr:row>
          <xdr:rowOff>9525</xdr:rowOff>
        </xdr:from>
        <xdr:to>
          <xdr:col>7</xdr:col>
          <xdr:colOff>838200</xdr:colOff>
          <xdr:row>29</xdr:row>
          <xdr:rowOff>28575</xdr:rowOff>
        </xdr:to>
        <xdr:sp macro="" textlink="">
          <xdr:nvSpPr>
            <xdr:cNvPr id="22745" name="Check Box 217" hidden="1">
              <a:extLst>
                <a:ext uri="{63B3BB69-23CF-44E3-9099-C40C66FF867C}">
                  <a14:compatExt spid="_x0000_s22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28</xdr:row>
          <xdr:rowOff>180975</xdr:rowOff>
        </xdr:from>
        <xdr:to>
          <xdr:col>7</xdr:col>
          <xdr:colOff>876300</xdr:colOff>
          <xdr:row>30</xdr:row>
          <xdr:rowOff>28575</xdr:rowOff>
        </xdr:to>
        <xdr:sp macro="" textlink="">
          <xdr:nvSpPr>
            <xdr:cNvPr id="22746" name="Check Box 218" hidden="1">
              <a:extLst>
                <a:ext uri="{63B3BB69-23CF-44E3-9099-C40C66FF867C}">
                  <a14:compatExt spid="_x0000_s22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29</xdr:row>
          <xdr:rowOff>180975</xdr:rowOff>
        </xdr:from>
        <xdr:to>
          <xdr:col>7</xdr:col>
          <xdr:colOff>876300</xdr:colOff>
          <xdr:row>31</xdr:row>
          <xdr:rowOff>19050</xdr:rowOff>
        </xdr:to>
        <xdr:sp macro="" textlink="">
          <xdr:nvSpPr>
            <xdr:cNvPr id="22747" name="Check Box 219" hidden="1">
              <a:extLst>
                <a:ext uri="{63B3BB69-23CF-44E3-9099-C40C66FF867C}">
                  <a14:compatExt spid="_x0000_s22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31</xdr:row>
          <xdr:rowOff>9525</xdr:rowOff>
        </xdr:from>
        <xdr:to>
          <xdr:col>7</xdr:col>
          <xdr:colOff>876300</xdr:colOff>
          <xdr:row>32</xdr:row>
          <xdr:rowOff>28575</xdr:rowOff>
        </xdr:to>
        <xdr:sp macro="" textlink="">
          <xdr:nvSpPr>
            <xdr:cNvPr id="22748" name="Check Box 220" hidden="1">
              <a:extLst>
                <a:ext uri="{63B3BB69-23CF-44E3-9099-C40C66FF867C}">
                  <a14:compatExt spid="_x0000_s22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32</xdr:row>
          <xdr:rowOff>0</xdr:rowOff>
        </xdr:from>
        <xdr:to>
          <xdr:col>7</xdr:col>
          <xdr:colOff>857250</xdr:colOff>
          <xdr:row>33</xdr:row>
          <xdr:rowOff>9525</xdr:rowOff>
        </xdr:to>
        <xdr:sp macro="" textlink="">
          <xdr:nvSpPr>
            <xdr:cNvPr id="22749" name="Check Box 221" hidden="1">
              <a:extLst>
                <a:ext uri="{63B3BB69-23CF-44E3-9099-C40C66FF867C}">
                  <a14:compatExt spid="_x0000_s22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32</xdr:row>
          <xdr:rowOff>180975</xdr:rowOff>
        </xdr:from>
        <xdr:to>
          <xdr:col>7</xdr:col>
          <xdr:colOff>838200</xdr:colOff>
          <xdr:row>34</xdr:row>
          <xdr:rowOff>0</xdr:rowOff>
        </xdr:to>
        <xdr:sp macro="" textlink="">
          <xdr:nvSpPr>
            <xdr:cNvPr id="22750" name="Check Box 222" hidden="1">
              <a:extLst>
                <a:ext uri="{63B3BB69-23CF-44E3-9099-C40C66FF867C}">
                  <a14:compatExt spid="_x0000_s22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26</xdr:row>
          <xdr:rowOff>180975</xdr:rowOff>
        </xdr:from>
        <xdr:to>
          <xdr:col>8</xdr:col>
          <xdr:colOff>819150</xdr:colOff>
          <xdr:row>28</xdr:row>
          <xdr:rowOff>9525</xdr:rowOff>
        </xdr:to>
        <xdr:sp macro="" textlink="">
          <xdr:nvSpPr>
            <xdr:cNvPr id="22751" name="Check Box 223" hidden="1">
              <a:extLst>
                <a:ext uri="{63B3BB69-23CF-44E3-9099-C40C66FF867C}">
                  <a14:compatExt spid="_x0000_s22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28</xdr:row>
          <xdr:rowOff>0</xdr:rowOff>
        </xdr:from>
        <xdr:to>
          <xdr:col>8</xdr:col>
          <xdr:colOff>819150</xdr:colOff>
          <xdr:row>29</xdr:row>
          <xdr:rowOff>19050</xdr:rowOff>
        </xdr:to>
        <xdr:sp macro="" textlink="">
          <xdr:nvSpPr>
            <xdr:cNvPr id="22752" name="Check Box 224" hidden="1">
              <a:extLst>
                <a:ext uri="{63B3BB69-23CF-44E3-9099-C40C66FF867C}">
                  <a14:compatExt spid="_x0000_s22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28</xdr:row>
          <xdr:rowOff>180975</xdr:rowOff>
        </xdr:from>
        <xdr:to>
          <xdr:col>8</xdr:col>
          <xdr:colOff>819150</xdr:colOff>
          <xdr:row>30</xdr:row>
          <xdr:rowOff>9525</xdr:rowOff>
        </xdr:to>
        <xdr:sp macro="" textlink="">
          <xdr:nvSpPr>
            <xdr:cNvPr id="22753" name="Check Box 225" hidden="1">
              <a:extLst>
                <a:ext uri="{63B3BB69-23CF-44E3-9099-C40C66FF867C}">
                  <a14:compatExt spid="_x0000_s22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29</xdr:row>
          <xdr:rowOff>180975</xdr:rowOff>
        </xdr:from>
        <xdr:to>
          <xdr:col>8</xdr:col>
          <xdr:colOff>819150</xdr:colOff>
          <xdr:row>31</xdr:row>
          <xdr:rowOff>9525</xdr:rowOff>
        </xdr:to>
        <xdr:sp macro="" textlink="">
          <xdr:nvSpPr>
            <xdr:cNvPr id="22754" name="Check Box 226" hidden="1">
              <a:extLst>
                <a:ext uri="{63B3BB69-23CF-44E3-9099-C40C66FF867C}">
                  <a14:compatExt spid="_x0000_s2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30</xdr:row>
          <xdr:rowOff>180975</xdr:rowOff>
        </xdr:from>
        <xdr:to>
          <xdr:col>8</xdr:col>
          <xdr:colOff>819150</xdr:colOff>
          <xdr:row>32</xdr:row>
          <xdr:rowOff>9525</xdr:rowOff>
        </xdr:to>
        <xdr:sp macro="" textlink="">
          <xdr:nvSpPr>
            <xdr:cNvPr id="22755" name="Check Box 227" hidden="1">
              <a:extLst>
                <a:ext uri="{63B3BB69-23CF-44E3-9099-C40C66FF867C}">
                  <a14:compatExt spid="_x0000_s22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32</xdr:row>
          <xdr:rowOff>19050</xdr:rowOff>
        </xdr:from>
        <xdr:to>
          <xdr:col>8</xdr:col>
          <xdr:colOff>819150</xdr:colOff>
          <xdr:row>33</xdr:row>
          <xdr:rowOff>38100</xdr:rowOff>
        </xdr:to>
        <xdr:sp macro="" textlink="">
          <xdr:nvSpPr>
            <xdr:cNvPr id="22756" name="Check Box 228" hidden="1">
              <a:extLst>
                <a:ext uri="{63B3BB69-23CF-44E3-9099-C40C66FF867C}">
                  <a14:compatExt spid="_x0000_s22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33</xdr:row>
          <xdr:rowOff>9525</xdr:rowOff>
        </xdr:from>
        <xdr:to>
          <xdr:col>8</xdr:col>
          <xdr:colOff>819150</xdr:colOff>
          <xdr:row>34</xdr:row>
          <xdr:rowOff>28575</xdr:rowOff>
        </xdr:to>
        <xdr:sp macro="" textlink="">
          <xdr:nvSpPr>
            <xdr:cNvPr id="22757" name="Check Box 229" hidden="1">
              <a:extLst>
                <a:ext uri="{63B3BB69-23CF-44E3-9099-C40C66FF867C}">
                  <a14:compatExt spid="_x0000_s22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30</xdr:row>
          <xdr:rowOff>0</xdr:rowOff>
        </xdr:from>
        <xdr:to>
          <xdr:col>9</xdr:col>
          <xdr:colOff>1304925</xdr:colOff>
          <xdr:row>30</xdr:row>
          <xdr:rowOff>180975</xdr:rowOff>
        </xdr:to>
        <xdr:sp macro="" textlink="">
          <xdr:nvSpPr>
            <xdr:cNvPr id="22758" name="Check Box 230" hidden="1">
              <a:extLst>
                <a:ext uri="{63B3BB69-23CF-44E3-9099-C40C66FF867C}">
                  <a14:compatExt spid="_x0000_s22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27</xdr:row>
          <xdr:rowOff>0</xdr:rowOff>
        </xdr:from>
        <xdr:to>
          <xdr:col>9</xdr:col>
          <xdr:colOff>1581150</xdr:colOff>
          <xdr:row>28</xdr:row>
          <xdr:rowOff>19050</xdr:rowOff>
        </xdr:to>
        <xdr:sp macro="" textlink="">
          <xdr:nvSpPr>
            <xdr:cNvPr id="22759" name="Check Box 231" hidden="1">
              <a:extLst>
                <a:ext uri="{63B3BB69-23CF-44E3-9099-C40C66FF867C}">
                  <a14:compatExt spid="_x0000_s22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27</xdr:row>
          <xdr:rowOff>180975</xdr:rowOff>
        </xdr:from>
        <xdr:to>
          <xdr:col>9</xdr:col>
          <xdr:colOff>1343025</xdr:colOff>
          <xdr:row>29</xdr:row>
          <xdr:rowOff>9525</xdr:rowOff>
        </xdr:to>
        <xdr:sp macro="" textlink="">
          <xdr:nvSpPr>
            <xdr:cNvPr id="22760" name="Check Box 232" hidden="1">
              <a:extLst>
                <a:ext uri="{63B3BB69-23CF-44E3-9099-C40C66FF867C}">
                  <a14:compatExt spid="_x0000_s22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29</xdr:row>
          <xdr:rowOff>9525</xdr:rowOff>
        </xdr:from>
        <xdr:to>
          <xdr:col>9</xdr:col>
          <xdr:colOff>1676400</xdr:colOff>
          <xdr:row>30</xdr:row>
          <xdr:rowOff>9525</xdr:rowOff>
        </xdr:to>
        <xdr:sp macro="" textlink="">
          <xdr:nvSpPr>
            <xdr:cNvPr id="22761" name="Check Box 233" hidden="1">
              <a:extLst>
                <a:ext uri="{63B3BB69-23CF-44E3-9099-C40C66FF867C}">
                  <a14:compatExt spid="_x0000_s22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30</xdr:row>
          <xdr:rowOff>180975</xdr:rowOff>
        </xdr:from>
        <xdr:to>
          <xdr:col>9</xdr:col>
          <xdr:colOff>1152525</xdr:colOff>
          <xdr:row>31</xdr:row>
          <xdr:rowOff>180975</xdr:rowOff>
        </xdr:to>
        <xdr:sp macro="" textlink="">
          <xdr:nvSpPr>
            <xdr:cNvPr id="22762" name="Check Box 234" hidden="1">
              <a:extLst>
                <a:ext uri="{63B3BB69-23CF-44E3-9099-C40C66FF867C}">
                  <a14:compatExt spid="_x0000_s22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32</xdr:row>
          <xdr:rowOff>0</xdr:rowOff>
        </xdr:from>
        <xdr:to>
          <xdr:col>9</xdr:col>
          <xdr:colOff>1485900</xdr:colOff>
          <xdr:row>33</xdr:row>
          <xdr:rowOff>0</xdr:rowOff>
        </xdr:to>
        <xdr:sp macro="" textlink="">
          <xdr:nvSpPr>
            <xdr:cNvPr id="22763" name="Check Box 235" hidden="1">
              <a:extLst>
                <a:ext uri="{63B3BB69-23CF-44E3-9099-C40C66FF867C}">
                  <a14:compatExt spid="_x0000_s22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33</xdr:row>
          <xdr:rowOff>9525</xdr:rowOff>
        </xdr:from>
        <xdr:to>
          <xdr:col>9</xdr:col>
          <xdr:colOff>1247775</xdr:colOff>
          <xdr:row>34</xdr:row>
          <xdr:rowOff>0</xdr:rowOff>
        </xdr:to>
        <xdr:sp macro="" textlink="">
          <xdr:nvSpPr>
            <xdr:cNvPr id="22764" name="Check Box 236" hidden="1">
              <a:extLst>
                <a:ext uri="{63B3BB69-23CF-44E3-9099-C40C66FF867C}">
                  <a14:compatExt spid="_x0000_s22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33</xdr:row>
          <xdr:rowOff>161925</xdr:rowOff>
        </xdr:from>
        <xdr:to>
          <xdr:col>7</xdr:col>
          <xdr:colOff>838200</xdr:colOff>
          <xdr:row>34</xdr:row>
          <xdr:rowOff>171450</xdr:rowOff>
        </xdr:to>
        <xdr:sp macro="" textlink="">
          <xdr:nvSpPr>
            <xdr:cNvPr id="22765" name="Check Box 237" hidden="1">
              <a:extLst>
                <a:ext uri="{63B3BB69-23CF-44E3-9099-C40C66FF867C}">
                  <a14:compatExt spid="_x0000_s22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33</xdr:row>
          <xdr:rowOff>180975</xdr:rowOff>
        </xdr:from>
        <xdr:to>
          <xdr:col>8</xdr:col>
          <xdr:colOff>819150</xdr:colOff>
          <xdr:row>35</xdr:row>
          <xdr:rowOff>9525</xdr:rowOff>
        </xdr:to>
        <xdr:sp macro="" textlink="">
          <xdr:nvSpPr>
            <xdr:cNvPr id="22766" name="Check Box 238" hidden="1">
              <a:extLst>
                <a:ext uri="{63B3BB69-23CF-44E3-9099-C40C66FF867C}">
                  <a14:compatExt spid="_x0000_s22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33</xdr:row>
          <xdr:rowOff>180975</xdr:rowOff>
        </xdr:from>
        <xdr:to>
          <xdr:col>9</xdr:col>
          <xdr:colOff>1200150</xdr:colOff>
          <xdr:row>34</xdr:row>
          <xdr:rowOff>180975</xdr:rowOff>
        </xdr:to>
        <xdr:sp macro="" textlink="">
          <xdr:nvSpPr>
            <xdr:cNvPr id="22767" name="Check Box 239" hidden="1">
              <a:extLst>
                <a:ext uri="{63B3BB69-23CF-44E3-9099-C40C66FF867C}">
                  <a14:compatExt spid="_x0000_s22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4</xdr:row>
          <xdr:rowOff>180975</xdr:rowOff>
        </xdr:from>
        <xdr:to>
          <xdr:col>10</xdr:col>
          <xdr:colOff>314325</xdr:colOff>
          <xdr:row>6</xdr:row>
          <xdr:rowOff>19050</xdr:rowOff>
        </xdr:to>
        <xdr:sp macro="" textlink="">
          <xdr:nvSpPr>
            <xdr:cNvPr id="22768" name="Check Box 240" hidden="1">
              <a:extLst>
                <a:ext uri="{63B3BB69-23CF-44E3-9099-C40C66FF867C}">
                  <a14:compatExt spid="_x0000_s22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5</xdr:row>
          <xdr:rowOff>180975</xdr:rowOff>
        </xdr:from>
        <xdr:to>
          <xdr:col>10</xdr:col>
          <xdr:colOff>314325</xdr:colOff>
          <xdr:row>7</xdr:row>
          <xdr:rowOff>19050</xdr:rowOff>
        </xdr:to>
        <xdr:sp macro="" textlink="">
          <xdr:nvSpPr>
            <xdr:cNvPr id="22769" name="Check Box 241" hidden="1">
              <a:extLst>
                <a:ext uri="{63B3BB69-23CF-44E3-9099-C40C66FF867C}">
                  <a14:compatExt spid="_x0000_s2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6</xdr:row>
          <xdr:rowOff>180975</xdr:rowOff>
        </xdr:from>
        <xdr:to>
          <xdr:col>10</xdr:col>
          <xdr:colOff>314325</xdr:colOff>
          <xdr:row>8</xdr:row>
          <xdr:rowOff>19050</xdr:rowOff>
        </xdr:to>
        <xdr:sp macro="" textlink="">
          <xdr:nvSpPr>
            <xdr:cNvPr id="22770" name="Check Box 242" hidden="1">
              <a:extLst>
                <a:ext uri="{63B3BB69-23CF-44E3-9099-C40C66FF867C}">
                  <a14:compatExt spid="_x0000_s2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7</xdr:row>
          <xdr:rowOff>180975</xdr:rowOff>
        </xdr:from>
        <xdr:to>
          <xdr:col>10</xdr:col>
          <xdr:colOff>314325</xdr:colOff>
          <xdr:row>9</xdr:row>
          <xdr:rowOff>19050</xdr:rowOff>
        </xdr:to>
        <xdr:sp macro="" textlink="">
          <xdr:nvSpPr>
            <xdr:cNvPr id="22771" name="Check Box 243" hidden="1">
              <a:extLst>
                <a:ext uri="{63B3BB69-23CF-44E3-9099-C40C66FF867C}">
                  <a14:compatExt spid="_x0000_s2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8</xdr:row>
          <xdr:rowOff>180975</xdr:rowOff>
        </xdr:from>
        <xdr:to>
          <xdr:col>10</xdr:col>
          <xdr:colOff>314325</xdr:colOff>
          <xdr:row>10</xdr:row>
          <xdr:rowOff>19050</xdr:rowOff>
        </xdr:to>
        <xdr:sp macro="" textlink="">
          <xdr:nvSpPr>
            <xdr:cNvPr id="22772" name="Check Box 244" hidden="1">
              <a:extLst>
                <a:ext uri="{63B3BB69-23CF-44E3-9099-C40C66FF867C}">
                  <a14:compatExt spid="_x0000_s2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9</xdr:row>
          <xdr:rowOff>180975</xdr:rowOff>
        </xdr:from>
        <xdr:to>
          <xdr:col>10</xdr:col>
          <xdr:colOff>314325</xdr:colOff>
          <xdr:row>11</xdr:row>
          <xdr:rowOff>19050</xdr:rowOff>
        </xdr:to>
        <xdr:sp macro="" textlink="">
          <xdr:nvSpPr>
            <xdr:cNvPr id="22773" name="Check Box 245" hidden="1">
              <a:extLst>
                <a:ext uri="{63B3BB69-23CF-44E3-9099-C40C66FF867C}">
                  <a14:compatExt spid="_x0000_s2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10</xdr:row>
          <xdr:rowOff>180975</xdr:rowOff>
        </xdr:from>
        <xdr:to>
          <xdr:col>10</xdr:col>
          <xdr:colOff>314325</xdr:colOff>
          <xdr:row>12</xdr:row>
          <xdr:rowOff>19050</xdr:rowOff>
        </xdr:to>
        <xdr:sp macro="" textlink="">
          <xdr:nvSpPr>
            <xdr:cNvPr id="22774" name="Check Box 246" hidden="1">
              <a:extLst>
                <a:ext uri="{63B3BB69-23CF-44E3-9099-C40C66FF867C}">
                  <a14:compatExt spid="_x0000_s2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11</xdr:row>
          <xdr:rowOff>180975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2775" name="Check Box 247" hidden="1">
              <a:extLst>
                <a:ext uri="{63B3BB69-23CF-44E3-9099-C40C66FF867C}">
                  <a14:compatExt spid="_x0000_s2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12</xdr:row>
          <xdr:rowOff>180975</xdr:rowOff>
        </xdr:from>
        <xdr:to>
          <xdr:col>10</xdr:col>
          <xdr:colOff>314325</xdr:colOff>
          <xdr:row>14</xdr:row>
          <xdr:rowOff>19050</xdr:rowOff>
        </xdr:to>
        <xdr:sp macro="" textlink="">
          <xdr:nvSpPr>
            <xdr:cNvPr id="22776" name="Check Box 248" hidden="1">
              <a:extLst>
                <a:ext uri="{63B3BB69-23CF-44E3-9099-C40C66FF867C}">
                  <a14:compatExt spid="_x0000_s2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13</xdr:row>
          <xdr:rowOff>180975</xdr:rowOff>
        </xdr:from>
        <xdr:to>
          <xdr:col>10</xdr:col>
          <xdr:colOff>314325</xdr:colOff>
          <xdr:row>15</xdr:row>
          <xdr:rowOff>19050</xdr:rowOff>
        </xdr:to>
        <xdr:sp macro="" textlink="">
          <xdr:nvSpPr>
            <xdr:cNvPr id="22777" name="Check Box 249" hidden="1">
              <a:extLst>
                <a:ext uri="{63B3BB69-23CF-44E3-9099-C40C66FF867C}">
                  <a14:compatExt spid="_x0000_s2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14</xdr:row>
          <xdr:rowOff>180975</xdr:rowOff>
        </xdr:from>
        <xdr:to>
          <xdr:col>10</xdr:col>
          <xdr:colOff>314325</xdr:colOff>
          <xdr:row>16</xdr:row>
          <xdr:rowOff>19050</xdr:rowOff>
        </xdr:to>
        <xdr:sp macro="" textlink="">
          <xdr:nvSpPr>
            <xdr:cNvPr id="22778" name="Check Box 250" hidden="1">
              <a:extLst>
                <a:ext uri="{63B3BB69-23CF-44E3-9099-C40C66FF867C}">
                  <a14:compatExt spid="_x0000_s2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15</xdr:row>
          <xdr:rowOff>180975</xdr:rowOff>
        </xdr:from>
        <xdr:to>
          <xdr:col>10</xdr:col>
          <xdr:colOff>314325</xdr:colOff>
          <xdr:row>17</xdr:row>
          <xdr:rowOff>19050</xdr:rowOff>
        </xdr:to>
        <xdr:sp macro="" textlink="">
          <xdr:nvSpPr>
            <xdr:cNvPr id="22779" name="Check Box 251" hidden="1">
              <a:extLst>
                <a:ext uri="{63B3BB69-23CF-44E3-9099-C40C66FF867C}">
                  <a14:compatExt spid="_x0000_s2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16</xdr:row>
          <xdr:rowOff>180975</xdr:rowOff>
        </xdr:from>
        <xdr:to>
          <xdr:col>10</xdr:col>
          <xdr:colOff>314325</xdr:colOff>
          <xdr:row>18</xdr:row>
          <xdr:rowOff>19050</xdr:rowOff>
        </xdr:to>
        <xdr:sp macro="" textlink="">
          <xdr:nvSpPr>
            <xdr:cNvPr id="22780" name="Check Box 252" hidden="1">
              <a:extLst>
                <a:ext uri="{63B3BB69-23CF-44E3-9099-C40C66FF867C}">
                  <a14:compatExt spid="_x0000_s2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17</xdr:row>
          <xdr:rowOff>180975</xdr:rowOff>
        </xdr:from>
        <xdr:to>
          <xdr:col>10</xdr:col>
          <xdr:colOff>314325</xdr:colOff>
          <xdr:row>19</xdr:row>
          <xdr:rowOff>19050</xdr:rowOff>
        </xdr:to>
        <xdr:sp macro="" textlink="">
          <xdr:nvSpPr>
            <xdr:cNvPr id="22781" name="Check Box 253" hidden="1">
              <a:extLst>
                <a:ext uri="{63B3BB69-23CF-44E3-9099-C40C66FF867C}">
                  <a14:compatExt spid="_x0000_s2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18</xdr:row>
          <xdr:rowOff>180975</xdr:rowOff>
        </xdr:from>
        <xdr:to>
          <xdr:col>10</xdr:col>
          <xdr:colOff>314325</xdr:colOff>
          <xdr:row>20</xdr:row>
          <xdr:rowOff>19050</xdr:rowOff>
        </xdr:to>
        <xdr:sp macro="" textlink="">
          <xdr:nvSpPr>
            <xdr:cNvPr id="22782" name="Check Box 254" hidden="1">
              <a:extLst>
                <a:ext uri="{63B3BB69-23CF-44E3-9099-C40C66FF867C}">
                  <a14:compatExt spid="_x0000_s2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19</xdr:row>
          <xdr:rowOff>180975</xdr:rowOff>
        </xdr:from>
        <xdr:to>
          <xdr:col>10</xdr:col>
          <xdr:colOff>314325</xdr:colOff>
          <xdr:row>21</xdr:row>
          <xdr:rowOff>19050</xdr:rowOff>
        </xdr:to>
        <xdr:sp macro="" textlink="">
          <xdr:nvSpPr>
            <xdr:cNvPr id="22783" name="Check Box 255" hidden="1">
              <a:extLst>
                <a:ext uri="{63B3BB69-23CF-44E3-9099-C40C66FF867C}">
                  <a14:compatExt spid="_x0000_s2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20</xdr:row>
          <xdr:rowOff>180975</xdr:rowOff>
        </xdr:from>
        <xdr:to>
          <xdr:col>10</xdr:col>
          <xdr:colOff>314325</xdr:colOff>
          <xdr:row>22</xdr:row>
          <xdr:rowOff>19050</xdr:rowOff>
        </xdr:to>
        <xdr:sp macro="" textlink="">
          <xdr:nvSpPr>
            <xdr:cNvPr id="22784" name="Check Box 256" hidden="1">
              <a:extLst>
                <a:ext uri="{63B3BB69-23CF-44E3-9099-C40C66FF867C}">
                  <a14:compatExt spid="_x0000_s2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21</xdr:row>
          <xdr:rowOff>180975</xdr:rowOff>
        </xdr:from>
        <xdr:to>
          <xdr:col>10</xdr:col>
          <xdr:colOff>314325</xdr:colOff>
          <xdr:row>23</xdr:row>
          <xdr:rowOff>19050</xdr:rowOff>
        </xdr:to>
        <xdr:sp macro="" textlink="">
          <xdr:nvSpPr>
            <xdr:cNvPr id="22785" name="Check Box 257" hidden="1">
              <a:extLst>
                <a:ext uri="{63B3BB69-23CF-44E3-9099-C40C66FF867C}">
                  <a14:compatExt spid="_x0000_s2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22</xdr:row>
          <xdr:rowOff>180975</xdr:rowOff>
        </xdr:from>
        <xdr:to>
          <xdr:col>10</xdr:col>
          <xdr:colOff>314325</xdr:colOff>
          <xdr:row>24</xdr:row>
          <xdr:rowOff>19050</xdr:rowOff>
        </xdr:to>
        <xdr:sp macro="" textlink="">
          <xdr:nvSpPr>
            <xdr:cNvPr id="22786" name="Check Box 258" hidden="1">
              <a:extLst>
                <a:ext uri="{63B3BB69-23CF-44E3-9099-C40C66FF867C}">
                  <a14:compatExt spid="_x0000_s2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23</xdr:row>
          <xdr:rowOff>180975</xdr:rowOff>
        </xdr:from>
        <xdr:to>
          <xdr:col>10</xdr:col>
          <xdr:colOff>314325</xdr:colOff>
          <xdr:row>25</xdr:row>
          <xdr:rowOff>19050</xdr:rowOff>
        </xdr:to>
        <xdr:sp macro="" textlink="">
          <xdr:nvSpPr>
            <xdr:cNvPr id="22787" name="Check Box 259" hidden="1">
              <a:extLst>
                <a:ext uri="{63B3BB69-23CF-44E3-9099-C40C66FF867C}">
                  <a14:compatExt spid="_x0000_s2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24</xdr:row>
          <xdr:rowOff>180975</xdr:rowOff>
        </xdr:from>
        <xdr:to>
          <xdr:col>10</xdr:col>
          <xdr:colOff>314325</xdr:colOff>
          <xdr:row>26</xdr:row>
          <xdr:rowOff>19050</xdr:rowOff>
        </xdr:to>
        <xdr:sp macro="" textlink="">
          <xdr:nvSpPr>
            <xdr:cNvPr id="22788" name="Check Box 260" hidden="1">
              <a:extLst>
                <a:ext uri="{63B3BB69-23CF-44E3-9099-C40C66FF867C}">
                  <a14:compatExt spid="_x0000_s22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25</xdr:row>
          <xdr:rowOff>180975</xdr:rowOff>
        </xdr:from>
        <xdr:to>
          <xdr:col>10</xdr:col>
          <xdr:colOff>314325</xdr:colOff>
          <xdr:row>27</xdr:row>
          <xdr:rowOff>19050</xdr:rowOff>
        </xdr:to>
        <xdr:sp macro="" textlink="">
          <xdr:nvSpPr>
            <xdr:cNvPr id="22789" name="Check Box 261" hidden="1">
              <a:extLst>
                <a:ext uri="{63B3BB69-23CF-44E3-9099-C40C66FF867C}">
                  <a14:compatExt spid="_x0000_s2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26</xdr:row>
          <xdr:rowOff>180975</xdr:rowOff>
        </xdr:from>
        <xdr:to>
          <xdr:col>10</xdr:col>
          <xdr:colOff>314325</xdr:colOff>
          <xdr:row>28</xdr:row>
          <xdr:rowOff>19050</xdr:rowOff>
        </xdr:to>
        <xdr:sp macro="" textlink="">
          <xdr:nvSpPr>
            <xdr:cNvPr id="22790" name="Check Box 262" hidden="1">
              <a:extLst>
                <a:ext uri="{63B3BB69-23CF-44E3-9099-C40C66FF867C}">
                  <a14:compatExt spid="_x0000_s2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27</xdr:row>
          <xdr:rowOff>180975</xdr:rowOff>
        </xdr:from>
        <xdr:to>
          <xdr:col>10</xdr:col>
          <xdr:colOff>314325</xdr:colOff>
          <xdr:row>29</xdr:row>
          <xdr:rowOff>19050</xdr:rowOff>
        </xdr:to>
        <xdr:sp macro="" textlink="">
          <xdr:nvSpPr>
            <xdr:cNvPr id="22791" name="Check Box 263" hidden="1">
              <a:extLst>
                <a:ext uri="{63B3BB69-23CF-44E3-9099-C40C66FF867C}">
                  <a14:compatExt spid="_x0000_s2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28</xdr:row>
          <xdr:rowOff>180975</xdr:rowOff>
        </xdr:from>
        <xdr:to>
          <xdr:col>10</xdr:col>
          <xdr:colOff>314325</xdr:colOff>
          <xdr:row>30</xdr:row>
          <xdr:rowOff>19050</xdr:rowOff>
        </xdr:to>
        <xdr:sp macro="" textlink="">
          <xdr:nvSpPr>
            <xdr:cNvPr id="22792" name="Check Box 264" hidden="1">
              <a:extLst>
                <a:ext uri="{63B3BB69-23CF-44E3-9099-C40C66FF867C}">
                  <a14:compatExt spid="_x0000_s2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29</xdr:row>
          <xdr:rowOff>180975</xdr:rowOff>
        </xdr:from>
        <xdr:to>
          <xdr:col>10</xdr:col>
          <xdr:colOff>314325</xdr:colOff>
          <xdr:row>31</xdr:row>
          <xdr:rowOff>19050</xdr:rowOff>
        </xdr:to>
        <xdr:sp macro="" textlink="">
          <xdr:nvSpPr>
            <xdr:cNvPr id="22793" name="Check Box 265" hidden="1">
              <a:extLst>
                <a:ext uri="{63B3BB69-23CF-44E3-9099-C40C66FF867C}">
                  <a14:compatExt spid="_x0000_s22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30</xdr:row>
          <xdr:rowOff>180975</xdr:rowOff>
        </xdr:from>
        <xdr:to>
          <xdr:col>10</xdr:col>
          <xdr:colOff>314325</xdr:colOff>
          <xdr:row>32</xdr:row>
          <xdr:rowOff>19050</xdr:rowOff>
        </xdr:to>
        <xdr:sp macro="" textlink="">
          <xdr:nvSpPr>
            <xdr:cNvPr id="22794" name="Check Box 266" hidden="1">
              <a:extLst>
                <a:ext uri="{63B3BB69-23CF-44E3-9099-C40C66FF867C}">
                  <a14:compatExt spid="_x0000_s2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31</xdr:row>
          <xdr:rowOff>180975</xdr:rowOff>
        </xdr:from>
        <xdr:to>
          <xdr:col>10</xdr:col>
          <xdr:colOff>314325</xdr:colOff>
          <xdr:row>33</xdr:row>
          <xdr:rowOff>19050</xdr:rowOff>
        </xdr:to>
        <xdr:sp macro="" textlink="">
          <xdr:nvSpPr>
            <xdr:cNvPr id="22795" name="Check Box 267" hidden="1">
              <a:extLst>
                <a:ext uri="{63B3BB69-23CF-44E3-9099-C40C66FF867C}">
                  <a14:compatExt spid="_x0000_s2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32</xdr:row>
          <xdr:rowOff>180975</xdr:rowOff>
        </xdr:from>
        <xdr:to>
          <xdr:col>10</xdr:col>
          <xdr:colOff>314325</xdr:colOff>
          <xdr:row>34</xdr:row>
          <xdr:rowOff>19050</xdr:rowOff>
        </xdr:to>
        <xdr:sp macro="" textlink="">
          <xdr:nvSpPr>
            <xdr:cNvPr id="22796" name="Check Box 268" hidden="1">
              <a:extLst>
                <a:ext uri="{63B3BB69-23CF-44E3-9099-C40C66FF867C}">
                  <a14:compatExt spid="_x0000_s22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723900</xdr:colOff>
          <xdr:row>33</xdr:row>
          <xdr:rowOff>180975</xdr:rowOff>
        </xdr:from>
        <xdr:to>
          <xdr:col>10</xdr:col>
          <xdr:colOff>314325</xdr:colOff>
          <xdr:row>35</xdr:row>
          <xdr:rowOff>19050</xdr:rowOff>
        </xdr:to>
        <xdr:sp macro="" textlink="">
          <xdr:nvSpPr>
            <xdr:cNvPr id="22797" name="Check Box 269" hidden="1">
              <a:extLst>
                <a:ext uri="{63B3BB69-23CF-44E3-9099-C40C66FF867C}">
                  <a14:compatExt spid="_x0000_s2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209550</xdr:rowOff>
        </xdr:from>
        <xdr:to>
          <xdr:col>11</xdr:col>
          <xdr:colOff>1466850</xdr:colOff>
          <xdr:row>2</xdr:row>
          <xdr:rowOff>123825</xdr:rowOff>
        </xdr:to>
        <xdr:sp macro="" textlink="">
          <xdr:nvSpPr>
            <xdr:cNvPr id="22798" name="Button 270" hidden="1">
              <a:extLst>
                <a:ext uri="{63B3BB69-23CF-44E3-9099-C40C66FF867C}">
                  <a14:compatExt spid="_x0000_s22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19050</xdr:colOff>
      <xdr:row>0</xdr:row>
      <xdr:rowOff>38100</xdr:rowOff>
    </xdr:from>
    <xdr:to>
      <xdr:col>15</xdr:col>
      <xdr:colOff>381000</xdr:colOff>
      <xdr:row>7</xdr:row>
      <xdr:rowOff>133350</xdr:rowOff>
    </xdr:to>
    <xdr:pic>
      <xdr:nvPicPr>
        <xdr:cNvPr id="126" name="Picture 12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54250" y="38100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6</xdr:row>
          <xdr:rowOff>180975</xdr:rowOff>
        </xdr:from>
        <xdr:to>
          <xdr:col>7</xdr:col>
          <xdr:colOff>942975</xdr:colOff>
          <xdr:row>7</xdr:row>
          <xdr:rowOff>180975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7</xdr:row>
          <xdr:rowOff>180975</xdr:rowOff>
        </xdr:from>
        <xdr:to>
          <xdr:col>7</xdr:col>
          <xdr:colOff>866775</xdr:colOff>
          <xdr:row>9</xdr:row>
          <xdr:rowOff>0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8</xdr:row>
          <xdr:rowOff>180975</xdr:rowOff>
        </xdr:from>
        <xdr:to>
          <xdr:col>7</xdr:col>
          <xdr:colOff>866775</xdr:colOff>
          <xdr:row>10</xdr:row>
          <xdr:rowOff>0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9</xdr:row>
          <xdr:rowOff>152400</xdr:rowOff>
        </xdr:from>
        <xdr:to>
          <xdr:col>7</xdr:col>
          <xdr:colOff>866775</xdr:colOff>
          <xdr:row>10</xdr:row>
          <xdr:rowOff>171450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10</xdr:row>
          <xdr:rowOff>152400</xdr:rowOff>
        </xdr:from>
        <xdr:to>
          <xdr:col>7</xdr:col>
          <xdr:colOff>885825</xdr:colOff>
          <xdr:row>12</xdr:row>
          <xdr:rowOff>0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11</xdr:row>
          <xdr:rowOff>161925</xdr:rowOff>
        </xdr:from>
        <xdr:to>
          <xdr:col>7</xdr:col>
          <xdr:colOff>895350</xdr:colOff>
          <xdr:row>12</xdr:row>
          <xdr:rowOff>180975</xdr:rowOff>
        </xdr:to>
        <xdr:sp macro="" textlink="">
          <xdr:nvSpPr>
            <xdr:cNvPr id="28679" name="Check Box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12</xdr:row>
          <xdr:rowOff>180975</xdr:rowOff>
        </xdr:from>
        <xdr:to>
          <xdr:col>7</xdr:col>
          <xdr:colOff>857250</xdr:colOff>
          <xdr:row>14</xdr:row>
          <xdr:rowOff>9525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171450</xdr:rowOff>
        </xdr:from>
        <xdr:to>
          <xdr:col>7</xdr:col>
          <xdr:colOff>866775</xdr:colOff>
          <xdr:row>14</xdr:row>
          <xdr:rowOff>180975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14</xdr:row>
          <xdr:rowOff>161925</xdr:rowOff>
        </xdr:from>
        <xdr:to>
          <xdr:col>8</xdr:col>
          <xdr:colOff>447675</xdr:colOff>
          <xdr:row>15</xdr:row>
          <xdr:rowOff>180975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16</xdr:row>
          <xdr:rowOff>0</xdr:rowOff>
        </xdr:from>
        <xdr:to>
          <xdr:col>7</xdr:col>
          <xdr:colOff>885825</xdr:colOff>
          <xdr:row>17</xdr:row>
          <xdr:rowOff>19050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16</xdr:row>
          <xdr:rowOff>180975</xdr:rowOff>
        </xdr:from>
        <xdr:to>
          <xdr:col>7</xdr:col>
          <xdr:colOff>914400</xdr:colOff>
          <xdr:row>17</xdr:row>
          <xdr:rowOff>180975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17</xdr:row>
          <xdr:rowOff>171450</xdr:rowOff>
        </xdr:from>
        <xdr:to>
          <xdr:col>7</xdr:col>
          <xdr:colOff>885825</xdr:colOff>
          <xdr:row>18</xdr:row>
          <xdr:rowOff>180975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180975</xdr:rowOff>
        </xdr:from>
        <xdr:to>
          <xdr:col>7</xdr:col>
          <xdr:colOff>857250</xdr:colOff>
          <xdr:row>20</xdr:row>
          <xdr:rowOff>0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20</xdr:row>
          <xdr:rowOff>9525</xdr:rowOff>
        </xdr:from>
        <xdr:to>
          <xdr:col>7</xdr:col>
          <xdr:colOff>828675</xdr:colOff>
          <xdr:row>21</xdr:row>
          <xdr:rowOff>9525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20</xdr:row>
          <xdr:rowOff>161925</xdr:rowOff>
        </xdr:from>
        <xdr:to>
          <xdr:col>7</xdr:col>
          <xdr:colOff>857250</xdr:colOff>
          <xdr:row>21</xdr:row>
          <xdr:rowOff>180975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21</xdr:row>
          <xdr:rowOff>161925</xdr:rowOff>
        </xdr:from>
        <xdr:to>
          <xdr:col>7</xdr:col>
          <xdr:colOff>885825</xdr:colOff>
          <xdr:row>23</xdr:row>
          <xdr:rowOff>9525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22</xdr:row>
          <xdr:rowOff>161925</xdr:rowOff>
        </xdr:from>
        <xdr:to>
          <xdr:col>7</xdr:col>
          <xdr:colOff>885825</xdr:colOff>
          <xdr:row>24</xdr:row>
          <xdr:rowOff>0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23</xdr:row>
          <xdr:rowOff>180975</xdr:rowOff>
        </xdr:from>
        <xdr:to>
          <xdr:col>7</xdr:col>
          <xdr:colOff>885825</xdr:colOff>
          <xdr:row>25</xdr:row>
          <xdr:rowOff>9525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24</xdr:row>
          <xdr:rowOff>171450</xdr:rowOff>
        </xdr:from>
        <xdr:to>
          <xdr:col>7</xdr:col>
          <xdr:colOff>866775</xdr:colOff>
          <xdr:row>25</xdr:row>
          <xdr:rowOff>180975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25</xdr:row>
          <xdr:rowOff>180975</xdr:rowOff>
        </xdr:from>
        <xdr:to>
          <xdr:col>7</xdr:col>
          <xdr:colOff>847725</xdr:colOff>
          <xdr:row>27</xdr:row>
          <xdr:rowOff>0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5</xdr:row>
          <xdr:rowOff>180975</xdr:rowOff>
        </xdr:from>
        <xdr:to>
          <xdr:col>7</xdr:col>
          <xdr:colOff>981075</xdr:colOff>
          <xdr:row>7</xdr:row>
          <xdr:rowOff>0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4</xdr:row>
          <xdr:rowOff>161925</xdr:rowOff>
        </xdr:from>
        <xdr:to>
          <xdr:col>7</xdr:col>
          <xdr:colOff>952500</xdr:colOff>
          <xdr:row>6</xdr:row>
          <xdr:rowOff>0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5</xdr:row>
          <xdr:rowOff>171450</xdr:rowOff>
        </xdr:from>
        <xdr:to>
          <xdr:col>8</xdr:col>
          <xdr:colOff>1162050</xdr:colOff>
          <xdr:row>7</xdr:row>
          <xdr:rowOff>0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6</xdr:row>
          <xdr:rowOff>180975</xdr:rowOff>
        </xdr:from>
        <xdr:to>
          <xdr:col>8</xdr:col>
          <xdr:colOff>1162050</xdr:colOff>
          <xdr:row>8</xdr:row>
          <xdr:rowOff>9525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171450</xdr:rowOff>
        </xdr:from>
        <xdr:to>
          <xdr:col>8</xdr:col>
          <xdr:colOff>1162050</xdr:colOff>
          <xdr:row>9</xdr:row>
          <xdr:rowOff>0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8</xdr:col>
          <xdr:colOff>1162050</xdr:colOff>
          <xdr:row>10</xdr:row>
          <xdr:rowOff>19050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180975</xdr:rowOff>
        </xdr:from>
        <xdr:to>
          <xdr:col>8</xdr:col>
          <xdr:colOff>1162050</xdr:colOff>
          <xdr:row>12</xdr:row>
          <xdr:rowOff>0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180975</xdr:rowOff>
        </xdr:from>
        <xdr:to>
          <xdr:col>8</xdr:col>
          <xdr:colOff>1162050</xdr:colOff>
          <xdr:row>13</xdr:row>
          <xdr:rowOff>9525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171450</xdr:rowOff>
        </xdr:from>
        <xdr:to>
          <xdr:col>8</xdr:col>
          <xdr:colOff>1162050</xdr:colOff>
          <xdr:row>14</xdr:row>
          <xdr:rowOff>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180975</xdr:rowOff>
        </xdr:from>
        <xdr:to>
          <xdr:col>8</xdr:col>
          <xdr:colOff>1162050</xdr:colOff>
          <xdr:row>15</xdr:row>
          <xdr:rowOff>9525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161925</xdr:rowOff>
        </xdr:from>
        <xdr:to>
          <xdr:col>8</xdr:col>
          <xdr:colOff>1162050</xdr:colOff>
          <xdr:row>15</xdr:row>
          <xdr:rowOff>180975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161925</xdr:rowOff>
        </xdr:from>
        <xdr:to>
          <xdr:col>8</xdr:col>
          <xdr:colOff>1162050</xdr:colOff>
          <xdr:row>16</xdr:row>
          <xdr:rowOff>180975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8</xdr:col>
          <xdr:colOff>1162050</xdr:colOff>
          <xdr:row>18</xdr:row>
          <xdr:rowOff>19050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180975</xdr:rowOff>
        </xdr:from>
        <xdr:to>
          <xdr:col>8</xdr:col>
          <xdr:colOff>1162050</xdr:colOff>
          <xdr:row>19</xdr:row>
          <xdr:rowOff>9525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171450</xdr:rowOff>
        </xdr:from>
        <xdr:to>
          <xdr:col>8</xdr:col>
          <xdr:colOff>1162050</xdr:colOff>
          <xdr:row>20</xdr:row>
          <xdr:rowOff>0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161925</xdr:rowOff>
        </xdr:from>
        <xdr:to>
          <xdr:col>8</xdr:col>
          <xdr:colOff>1162050</xdr:colOff>
          <xdr:row>20</xdr:row>
          <xdr:rowOff>180975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171450</xdr:rowOff>
        </xdr:from>
        <xdr:to>
          <xdr:col>8</xdr:col>
          <xdr:colOff>1162050</xdr:colOff>
          <xdr:row>22</xdr:row>
          <xdr:rowOff>0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161925</xdr:rowOff>
        </xdr:from>
        <xdr:to>
          <xdr:col>8</xdr:col>
          <xdr:colOff>1162050</xdr:colOff>
          <xdr:row>22</xdr:row>
          <xdr:rowOff>180975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161925</xdr:rowOff>
        </xdr:from>
        <xdr:to>
          <xdr:col>8</xdr:col>
          <xdr:colOff>1162050</xdr:colOff>
          <xdr:row>23</xdr:row>
          <xdr:rowOff>180975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161925</xdr:rowOff>
        </xdr:from>
        <xdr:to>
          <xdr:col>8</xdr:col>
          <xdr:colOff>1162050</xdr:colOff>
          <xdr:row>24</xdr:row>
          <xdr:rowOff>180975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8</xdr:col>
          <xdr:colOff>1162050</xdr:colOff>
          <xdr:row>26</xdr:row>
          <xdr:rowOff>19050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9525</xdr:rowOff>
        </xdr:from>
        <xdr:to>
          <xdr:col>8</xdr:col>
          <xdr:colOff>1162050</xdr:colOff>
          <xdr:row>27</xdr:row>
          <xdr:rowOff>28575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</xdr:row>
          <xdr:rowOff>171450</xdr:rowOff>
        </xdr:from>
        <xdr:to>
          <xdr:col>8</xdr:col>
          <xdr:colOff>1209675</xdr:colOff>
          <xdr:row>6</xdr:row>
          <xdr:rowOff>0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3</xdr:row>
          <xdr:rowOff>161925</xdr:rowOff>
        </xdr:from>
        <xdr:to>
          <xdr:col>8</xdr:col>
          <xdr:colOff>1343025</xdr:colOff>
          <xdr:row>5</xdr:row>
          <xdr:rowOff>9525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3</xdr:row>
          <xdr:rowOff>161925</xdr:rowOff>
        </xdr:from>
        <xdr:to>
          <xdr:col>7</xdr:col>
          <xdr:colOff>952500</xdr:colOff>
          <xdr:row>5</xdr:row>
          <xdr:rowOff>0</xdr:rowOff>
        </xdr:to>
        <xdr:sp macro="" textlink="">
          <xdr:nvSpPr>
            <xdr:cNvPr id="28740" name="Check Box 68" hidden="1">
              <a:extLst>
                <a:ext uri="{63B3BB69-23CF-44E3-9099-C40C66FF867C}">
                  <a14:compatExt spid="_x0000_s28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171450</xdr:rowOff>
        </xdr:from>
        <xdr:to>
          <xdr:col>8</xdr:col>
          <xdr:colOff>1162050</xdr:colOff>
          <xdr:row>11</xdr:row>
          <xdr:rowOff>0</xdr:rowOff>
        </xdr:to>
        <xdr:sp macro="" textlink="">
          <xdr:nvSpPr>
            <xdr:cNvPr id="28741" name="Check Box 69" hidden="1">
              <a:extLst>
                <a:ext uri="{63B3BB69-23CF-44E3-9099-C40C66FF867C}">
                  <a14:compatExt spid="_x0000_s2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27</xdr:row>
          <xdr:rowOff>28575</xdr:rowOff>
        </xdr:from>
        <xdr:to>
          <xdr:col>7</xdr:col>
          <xdr:colOff>819150</xdr:colOff>
          <xdr:row>28</xdr:row>
          <xdr:rowOff>28575</xdr:rowOff>
        </xdr:to>
        <xdr:sp macro="" textlink="">
          <xdr:nvSpPr>
            <xdr:cNvPr id="28743" name="Check Box 71" hidden="1">
              <a:extLst>
                <a:ext uri="{63B3BB69-23CF-44E3-9099-C40C66FF867C}">
                  <a14:compatExt spid="_x0000_s2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28</xdr:row>
          <xdr:rowOff>9525</xdr:rowOff>
        </xdr:from>
        <xdr:to>
          <xdr:col>7</xdr:col>
          <xdr:colOff>838200</xdr:colOff>
          <xdr:row>29</xdr:row>
          <xdr:rowOff>28575</xdr:rowOff>
        </xdr:to>
        <xdr:sp macro="" textlink="">
          <xdr:nvSpPr>
            <xdr:cNvPr id="28744" name="Check Box 72" hidden="1">
              <a:extLst>
                <a:ext uri="{63B3BB69-23CF-44E3-9099-C40C66FF867C}">
                  <a14:compatExt spid="_x0000_s2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28</xdr:row>
          <xdr:rowOff>180975</xdr:rowOff>
        </xdr:from>
        <xdr:to>
          <xdr:col>7</xdr:col>
          <xdr:colOff>876300</xdr:colOff>
          <xdr:row>30</xdr:row>
          <xdr:rowOff>28575</xdr:rowOff>
        </xdr:to>
        <xdr:sp macro="" textlink="">
          <xdr:nvSpPr>
            <xdr:cNvPr id="28745" name="Check Box 73" hidden="1">
              <a:extLst>
                <a:ext uri="{63B3BB69-23CF-44E3-9099-C40C66FF867C}">
                  <a14:compatExt spid="_x0000_s2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29</xdr:row>
          <xdr:rowOff>180975</xdr:rowOff>
        </xdr:from>
        <xdr:to>
          <xdr:col>7</xdr:col>
          <xdr:colOff>876300</xdr:colOff>
          <xdr:row>31</xdr:row>
          <xdr:rowOff>19050</xdr:rowOff>
        </xdr:to>
        <xdr:sp macro="" textlink="">
          <xdr:nvSpPr>
            <xdr:cNvPr id="28746" name="Check Box 74" hidden="1">
              <a:extLst>
                <a:ext uri="{63B3BB69-23CF-44E3-9099-C40C66FF867C}">
                  <a14:compatExt spid="_x0000_s2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31</xdr:row>
          <xdr:rowOff>9525</xdr:rowOff>
        </xdr:from>
        <xdr:to>
          <xdr:col>7</xdr:col>
          <xdr:colOff>876300</xdr:colOff>
          <xdr:row>32</xdr:row>
          <xdr:rowOff>28575</xdr:rowOff>
        </xdr:to>
        <xdr:sp macro="" textlink="">
          <xdr:nvSpPr>
            <xdr:cNvPr id="28747" name="Check Box 75" hidden="1">
              <a:extLst>
                <a:ext uri="{63B3BB69-23CF-44E3-9099-C40C66FF867C}">
                  <a14:compatExt spid="_x0000_s28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32</xdr:row>
          <xdr:rowOff>0</xdr:rowOff>
        </xdr:from>
        <xdr:to>
          <xdr:col>7</xdr:col>
          <xdr:colOff>857250</xdr:colOff>
          <xdr:row>33</xdr:row>
          <xdr:rowOff>9525</xdr:rowOff>
        </xdr:to>
        <xdr:sp macro="" textlink="">
          <xdr:nvSpPr>
            <xdr:cNvPr id="28748" name="Check Box 76" hidden="1">
              <a:extLst>
                <a:ext uri="{63B3BB69-23CF-44E3-9099-C40C66FF867C}">
                  <a14:compatExt spid="_x0000_s2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32</xdr:row>
          <xdr:rowOff>180975</xdr:rowOff>
        </xdr:from>
        <xdr:to>
          <xdr:col>7</xdr:col>
          <xdr:colOff>838200</xdr:colOff>
          <xdr:row>34</xdr:row>
          <xdr:rowOff>0</xdr:rowOff>
        </xdr:to>
        <xdr:sp macro="" textlink="">
          <xdr:nvSpPr>
            <xdr:cNvPr id="28749" name="Check Box 77" hidden="1">
              <a:extLst>
                <a:ext uri="{63B3BB69-23CF-44E3-9099-C40C66FF867C}">
                  <a14:compatExt spid="_x0000_s2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26</xdr:row>
          <xdr:rowOff>180975</xdr:rowOff>
        </xdr:from>
        <xdr:to>
          <xdr:col>8</xdr:col>
          <xdr:colOff>1152525</xdr:colOff>
          <xdr:row>28</xdr:row>
          <xdr:rowOff>9525</xdr:rowOff>
        </xdr:to>
        <xdr:sp macro="" textlink="">
          <xdr:nvSpPr>
            <xdr:cNvPr id="28750" name="Check Box 78" hidden="1">
              <a:extLst>
                <a:ext uri="{63B3BB69-23CF-44E3-9099-C40C66FF867C}">
                  <a14:compatExt spid="_x0000_s2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28</xdr:row>
          <xdr:rowOff>0</xdr:rowOff>
        </xdr:from>
        <xdr:to>
          <xdr:col>8</xdr:col>
          <xdr:colOff>1152525</xdr:colOff>
          <xdr:row>29</xdr:row>
          <xdr:rowOff>19050</xdr:rowOff>
        </xdr:to>
        <xdr:sp macro="" textlink="">
          <xdr:nvSpPr>
            <xdr:cNvPr id="28751" name="Check Box 79" hidden="1">
              <a:extLst>
                <a:ext uri="{63B3BB69-23CF-44E3-9099-C40C66FF867C}">
                  <a14:compatExt spid="_x0000_s2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28</xdr:row>
          <xdr:rowOff>180975</xdr:rowOff>
        </xdr:from>
        <xdr:to>
          <xdr:col>8</xdr:col>
          <xdr:colOff>1152525</xdr:colOff>
          <xdr:row>30</xdr:row>
          <xdr:rowOff>9525</xdr:rowOff>
        </xdr:to>
        <xdr:sp macro="" textlink="">
          <xdr:nvSpPr>
            <xdr:cNvPr id="28752" name="Check Box 80" hidden="1">
              <a:extLst>
                <a:ext uri="{63B3BB69-23CF-44E3-9099-C40C66FF867C}">
                  <a14:compatExt spid="_x0000_s2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29</xdr:row>
          <xdr:rowOff>180975</xdr:rowOff>
        </xdr:from>
        <xdr:to>
          <xdr:col>8</xdr:col>
          <xdr:colOff>1152525</xdr:colOff>
          <xdr:row>31</xdr:row>
          <xdr:rowOff>9525</xdr:rowOff>
        </xdr:to>
        <xdr:sp macro="" textlink="">
          <xdr:nvSpPr>
            <xdr:cNvPr id="28753" name="Check Box 81" hidden="1">
              <a:extLst>
                <a:ext uri="{63B3BB69-23CF-44E3-9099-C40C66FF867C}">
                  <a14:compatExt spid="_x0000_s2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30</xdr:row>
          <xdr:rowOff>180975</xdr:rowOff>
        </xdr:from>
        <xdr:to>
          <xdr:col>8</xdr:col>
          <xdr:colOff>1152525</xdr:colOff>
          <xdr:row>32</xdr:row>
          <xdr:rowOff>9525</xdr:rowOff>
        </xdr:to>
        <xdr:sp macro="" textlink="">
          <xdr:nvSpPr>
            <xdr:cNvPr id="28754" name="Check Box 82" hidden="1">
              <a:extLst>
                <a:ext uri="{63B3BB69-23CF-44E3-9099-C40C66FF867C}">
                  <a14:compatExt spid="_x0000_s28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32</xdr:row>
          <xdr:rowOff>0</xdr:rowOff>
        </xdr:from>
        <xdr:to>
          <xdr:col>8</xdr:col>
          <xdr:colOff>1152525</xdr:colOff>
          <xdr:row>33</xdr:row>
          <xdr:rowOff>19050</xdr:rowOff>
        </xdr:to>
        <xdr:sp macro="" textlink="">
          <xdr:nvSpPr>
            <xdr:cNvPr id="28755" name="Check Box 83" hidden="1">
              <a:extLst>
                <a:ext uri="{63B3BB69-23CF-44E3-9099-C40C66FF867C}">
                  <a14:compatExt spid="_x0000_s2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33</xdr:row>
          <xdr:rowOff>9525</xdr:rowOff>
        </xdr:from>
        <xdr:to>
          <xdr:col>8</xdr:col>
          <xdr:colOff>1152525</xdr:colOff>
          <xdr:row>34</xdr:row>
          <xdr:rowOff>28575</xdr:rowOff>
        </xdr:to>
        <xdr:sp macro="" textlink="">
          <xdr:nvSpPr>
            <xdr:cNvPr id="28756" name="Check Box 84" hidden="1">
              <a:extLst>
                <a:ext uri="{63B3BB69-23CF-44E3-9099-C40C66FF867C}">
                  <a14:compatExt spid="_x0000_s2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33</xdr:row>
          <xdr:rowOff>161925</xdr:rowOff>
        </xdr:from>
        <xdr:to>
          <xdr:col>7</xdr:col>
          <xdr:colOff>838200</xdr:colOff>
          <xdr:row>34</xdr:row>
          <xdr:rowOff>171450</xdr:rowOff>
        </xdr:to>
        <xdr:sp macro="" textlink="">
          <xdr:nvSpPr>
            <xdr:cNvPr id="28764" name="Check Box 92" hidden="1">
              <a:extLst>
                <a:ext uri="{63B3BB69-23CF-44E3-9099-C40C66FF867C}">
                  <a14:compatExt spid="_x0000_s28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33</xdr:row>
          <xdr:rowOff>180975</xdr:rowOff>
        </xdr:from>
        <xdr:to>
          <xdr:col>8</xdr:col>
          <xdr:colOff>1152525</xdr:colOff>
          <xdr:row>35</xdr:row>
          <xdr:rowOff>9525</xdr:rowOff>
        </xdr:to>
        <xdr:sp macro="" textlink="">
          <xdr:nvSpPr>
            <xdr:cNvPr id="28765" name="Check Box 93" hidden="1">
              <a:extLst>
                <a:ext uri="{63B3BB69-23CF-44E3-9099-C40C66FF867C}">
                  <a14:compatExt spid="_x0000_s2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238125</xdr:rowOff>
        </xdr:from>
        <xdr:to>
          <xdr:col>11</xdr:col>
          <xdr:colOff>428625</xdr:colOff>
          <xdr:row>2</xdr:row>
          <xdr:rowOff>180975</xdr:rowOff>
        </xdr:to>
        <xdr:sp macro="" textlink="">
          <xdr:nvSpPr>
            <xdr:cNvPr id="28766" name="Button 94" hidden="1">
              <a:extLst>
                <a:ext uri="{63B3BB69-23CF-44E3-9099-C40C66FF867C}">
                  <a14:compatExt spid="_x0000_s28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542925</xdr:colOff>
      <xdr:row>0</xdr:row>
      <xdr:rowOff>66675</xdr:rowOff>
    </xdr:from>
    <xdr:to>
      <xdr:col>16</xdr:col>
      <xdr:colOff>295275</xdr:colOff>
      <xdr:row>7</xdr:row>
      <xdr:rowOff>161925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66675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6</xdr:row>
          <xdr:rowOff>152400</xdr:rowOff>
        </xdr:from>
        <xdr:to>
          <xdr:col>7</xdr:col>
          <xdr:colOff>923925</xdr:colOff>
          <xdr:row>7</xdr:row>
          <xdr:rowOff>152400</xdr:rowOff>
        </xdr:to>
        <xdr:sp macro="" textlink="">
          <xdr:nvSpPr>
            <xdr:cNvPr id="29820" name="Check Box 124" hidden="1">
              <a:extLst>
                <a:ext uri="{63B3BB69-23CF-44E3-9099-C40C66FF867C}">
                  <a14:compatExt spid="_x0000_s29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8</xdr:row>
          <xdr:rowOff>0</xdr:rowOff>
        </xdr:from>
        <xdr:to>
          <xdr:col>7</xdr:col>
          <xdr:colOff>847725</xdr:colOff>
          <xdr:row>9</xdr:row>
          <xdr:rowOff>9525</xdr:rowOff>
        </xdr:to>
        <xdr:sp macro="" textlink="">
          <xdr:nvSpPr>
            <xdr:cNvPr id="29821" name="Check Box 125" hidden="1">
              <a:extLst>
                <a:ext uri="{63B3BB69-23CF-44E3-9099-C40C66FF867C}">
                  <a14:compatExt spid="_x0000_s29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0</xdr:rowOff>
        </xdr:from>
        <xdr:to>
          <xdr:col>7</xdr:col>
          <xdr:colOff>847725</xdr:colOff>
          <xdr:row>10</xdr:row>
          <xdr:rowOff>9525</xdr:rowOff>
        </xdr:to>
        <xdr:sp macro="" textlink="">
          <xdr:nvSpPr>
            <xdr:cNvPr id="29822" name="Check Box 126" hidden="1">
              <a:extLst>
                <a:ext uri="{63B3BB69-23CF-44E3-9099-C40C66FF867C}">
                  <a14:compatExt spid="_x0000_s29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9</xdr:row>
          <xdr:rowOff>161925</xdr:rowOff>
        </xdr:from>
        <xdr:to>
          <xdr:col>7</xdr:col>
          <xdr:colOff>857250</xdr:colOff>
          <xdr:row>10</xdr:row>
          <xdr:rowOff>180975</xdr:rowOff>
        </xdr:to>
        <xdr:sp macro="" textlink="">
          <xdr:nvSpPr>
            <xdr:cNvPr id="29823" name="Check Box 127" hidden="1">
              <a:extLst>
                <a:ext uri="{63B3BB69-23CF-44E3-9099-C40C66FF867C}">
                  <a14:compatExt spid="_x0000_s29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10</xdr:row>
          <xdr:rowOff>142875</xdr:rowOff>
        </xdr:from>
        <xdr:to>
          <xdr:col>7</xdr:col>
          <xdr:colOff>866775</xdr:colOff>
          <xdr:row>11</xdr:row>
          <xdr:rowOff>180975</xdr:rowOff>
        </xdr:to>
        <xdr:sp macro="" textlink="">
          <xdr:nvSpPr>
            <xdr:cNvPr id="29824" name="Check Box 128" hidden="1">
              <a:extLst>
                <a:ext uri="{63B3BB69-23CF-44E3-9099-C40C66FF867C}">
                  <a14:compatExt spid="_x0000_s29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11</xdr:row>
          <xdr:rowOff>171450</xdr:rowOff>
        </xdr:from>
        <xdr:to>
          <xdr:col>7</xdr:col>
          <xdr:colOff>876300</xdr:colOff>
          <xdr:row>13</xdr:row>
          <xdr:rowOff>0</xdr:rowOff>
        </xdr:to>
        <xdr:sp macro="" textlink="">
          <xdr:nvSpPr>
            <xdr:cNvPr id="29825" name="Check Box 129" hidden="1">
              <a:extLst>
                <a:ext uri="{63B3BB69-23CF-44E3-9099-C40C66FF867C}">
                  <a14:compatExt spid="_x0000_s29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12</xdr:row>
          <xdr:rowOff>171450</xdr:rowOff>
        </xdr:from>
        <xdr:to>
          <xdr:col>7</xdr:col>
          <xdr:colOff>838200</xdr:colOff>
          <xdr:row>14</xdr:row>
          <xdr:rowOff>0</xdr:rowOff>
        </xdr:to>
        <xdr:sp macro="" textlink="">
          <xdr:nvSpPr>
            <xdr:cNvPr id="29826" name="Check Box 130" hidden="1">
              <a:extLst>
                <a:ext uri="{63B3BB69-23CF-44E3-9099-C40C66FF867C}">
                  <a14:compatExt spid="_x0000_s29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13</xdr:row>
          <xdr:rowOff>161925</xdr:rowOff>
        </xdr:from>
        <xdr:to>
          <xdr:col>7</xdr:col>
          <xdr:colOff>847725</xdr:colOff>
          <xdr:row>14</xdr:row>
          <xdr:rowOff>171450</xdr:rowOff>
        </xdr:to>
        <xdr:sp macro="" textlink="">
          <xdr:nvSpPr>
            <xdr:cNvPr id="29827" name="Check Box 131" hidden="1">
              <a:extLst>
                <a:ext uri="{63B3BB69-23CF-44E3-9099-C40C66FF867C}">
                  <a14:compatExt spid="_x0000_s29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14</xdr:row>
          <xdr:rowOff>152400</xdr:rowOff>
        </xdr:from>
        <xdr:to>
          <xdr:col>8</xdr:col>
          <xdr:colOff>257175</xdr:colOff>
          <xdr:row>15</xdr:row>
          <xdr:rowOff>171450</xdr:rowOff>
        </xdr:to>
        <xdr:sp macro="" textlink="">
          <xdr:nvSpPr>
            <xdr:cNvPr id="29828" name="Check Box 132" hidden="1">
              <a:extLst>
                <a:ext uri="{63B3BB69-23CF-44E3-9099-C40C66FF867C}">
                  <a14:compatExt spid="_x0000_s29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15</xdr:row>
          <xdr:rowOff>171450</xdr:rowOff>
        </xdr:from>
        <xdr:to>
          <xdr:col>7</xdr:col>
          <xdr:colOff>857250</xdr:colOff>
          <xdr:row>17</xdr:row>
          <xdr:rowOff>0</xdr:rowOff>
        </xdr:to>
        <xdr:sp macro="" textlink="">
          <xdr:nvSpPr>
            <xdr:cNvPr id="29829" name="Check Box 133" hidden="1">
              <a:extLst>
                <a:ext uri="{63B3BB69-23CF-44E3-9099-C40C66FF867C}">
                  <a14:compatExt spid="_x0000_s29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16</xdr:row>
          <xdr:rowOff>171450</xdr:rowOff>
        </xdr:from>
        <xdr:to>
          <xdr:col>7</xdr:col>
          <xdr:colOff>895350</xdr:colOff>
          <xdr:row>17</xdr:row>
          <xdr:rowOff>171450</xdr:rowOff>
        </xdr:to>
        <xdr:sp macro="" textlink="">
          <xdr:nvSpPr>
            <xdr:cNvPr id="29830" name="Check Box 134" hidden="1">
              <a:extLst>
                <a:ext uri="{63B3BB69-23CF-44E3-9099-C40C66FF867C}">
                  <a14:compatExt spid="_x0000_s29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17</xdr:row>
          <xdr:rowOff>161925</xdr:rowOff>
        </xdr:from>
        <xdr:to>
          <xdr:col>7</xdr:col>
          <xdr:colOff>866775</xdr:colOff>
          <xdr:row>18</xdr:row>
          <xdr:rowOff>171450</xdr:rowOff>
        </xdr:to>
        <xdr:sp macro="" textlink="">
          <xdr:nvSpPr>
            <xdr:cNvPr id="29831" name="Check Box 135" hidden="1">
              <a:extLst>
                <a:ext uri="{63B3BB69-23CF-44E3-9099-C40C66FF867C}">
                  <a14:compatExt spid="_x0000_s29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19</xdr:row>
          <xdr:rowOff>0</xdr:rowOff>
        </xdr:from>
        <xdr:to>
          <xdr:col>7</xdr:col>
          <xdr:colOff>838200</xdr:colOff>
          <xdr:row>20</xdr:row>
          <xdr:rowOff>9525</xdr:rowOff>
        </xdr:to>
        <xdr:sp macro="" textlink="">
          <xdr:nvSpPr>
            <xdr:cNvPr id="29832" name="Check Box 136" hidden="1">
              <a:extLst>
                <a:ext uri="{63B3BB69-23CF-44E3-9099-C40C66FF867C}">
                  <a14:compatExt spid="_x0000_s29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19</xdr:row>
          <xdr:rowOff>171450</xdr:rowOff>
        </xdr:from>
        <xdr:to>
          <xdr:col>7</xdr:col>
          <xdr:colOff>809625</xdr:colOff>
          <xdr:row>20</xdr:row>
          <xdr:rowOff>171450</xdr:rowOff>
        </xdr:to>
        <xdr:sp macro="" textlink="">
          <xdr:nvSpPr>
            <xdr:cNvPr id="29833" name="Check Box 137" hidden="1">
              <a:extLst>
                <a:ext uri="{63B3BB69-23CF-44E3-9099-C40C66FF867C}">
                  <a14:compatExt spid="_x0000_s29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20</xdr:row>
          <xdr:rowOff>180975</xdr:rowOff>
        </xdr:from>
        <xdr:to>
          <xdr:col>7</xdr:col>
          <xdr:colOff>847725</xdr:colOff>
          <xdr:row>22</xdr:row>
          <xdr:rowOff>9525</xdr:rowOff>
        </xdr:to>
        <xdr:sp macro="" textlink="">
          <xdr:nvSpPr>
            <xdr:cNvPr id="29834" name="Check Box 138" hidden="1">
              <a:extLst>
                <a:ext uri="{63B3BB69-23CF-44E3-9099-C40C66FF867C}">
                  <a14:compatExt spid="_x0000_s29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21</xdr:row>
          <xdr:rowOff>171450</xdr:rowOff>
        </xdr:from>
        <xdr:to>
          <xdr:col>7</xdr:col>
          <xdr:colOff>885825</xdr:colOff>
          <xdr:row>23</xdr:row>
          <xdr:rowOff>19050</xdr:rowOff>
        </xdr:to>
        <xdr:sp macro="" textlink="">
          <xdr:nvSpPr>
            <xdr:cNvPr id="29835" name="Check Box 139" hidden="1">
              <a:extLst>
                <a:ext uri="{63B3BB69-23CF-44E3-9099-C40C66FF867C}">
                  <a14:compatExt spid="_x0000_s29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22</xdr:row>
          <xdr:rowOff>180975</xdr:rowOff>
        </xdr:from>
        <xdr:to>
          <xdr:col>7</xdr:col>
          <xdr:colOff>895350</xdr:colOff>
          <xdr:row>24</xdr:row>
          <xdr:rowOff>19050</xdr:rowOff>
        </xdr:to>
        <xdr:sp macro="" textlink="">
          <xdr:nvSpPr>
            <xdr:cNvPr id="29836" name="Check Box 140" hidden="1">
              <a:extLst>
                <a:ext uri="{63B3BB69-23CF-44E3-9099-C40C66FF867C}">
                  <a14:compatExt spid="_x0000_s29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161925</xdr:rowOff>
        </xdr:from>
        <xdr:to>
          <xdr:col>7</xdr:col>
          <xdr:colOff>857250</xdr:colOff>
          <xdr:row>24</xdr:row>
          <xdr:rowOff>180975</xdr:rowOff>
        </xdr:to>
        <xdr:sp macro="" textlink="">
          <xdr:nvSpPr>
            <xdr:cNvPr id="29837" name="Check Box 141" hidden="1">
              <a:extLst>
                <a:ext uri="{63B3BB69-23CF-44E3-9099-C40C66FF867C}">
                  <a14:compatExt spid="_x0000_s29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24</xdr:row>
          <xdr:rowOff>161925</xdr:rowOff>
        </xdr:from>
        <xdr:to>
          <xdr:col>7</xdr:col>
          <xdr:colOff>838200</xdr:colOff>
          <xdr:row>25</xdr:row>
          <xdr:rowOff>171450</xdr:rowOff>
        </xdr:to>
        <xdr:sp macro="" textlink="">
          <xdr:nvSpPr>
            <xdr:cNvPr id="29838" name="Check Box 142" hidden="1">
              <a:extLst>
                <a:ext uri="{63B3BB69-23CF-44E3-9099-C40C66FF867C}">
                  <a14:compatExt spid="_x0000_s29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25</xdr:row>
          <xdr:rowOff>171450</xdr:rowOff>
        </xdr:from>
        <xdr:to>
          <xdr:col>7</xdr:col>
          <xdr:colOff>828675</xdr:colOff>
          <xdr:row>26</xdr:row>
          <xdr:rowOff>180975</xdr:rowOff>
        </xdr:to>
        <xdr:sp macro="" textlink="">
          <xdr:nvSpPr>
            <xdr:cNvPr id="29839" name="Check Box 143" hidden="1">
              <a:extLst>
                <a:ext uri="{63B3BB69-23CF-44E3-9099-C40C66FF867C}">
                  <a14:compatExt spid="_x0000_s29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5</xdr:row>
          <xdr:rowOff>152400</xdr:rowOff>
        </xdr:from>
        <xdr:to>
          <xdr:col>7</xdr:col>
          <xdr:colOff>962025</xdr:colOff>
          <xdr:row>6</xdr:row>
          <xdr:rowOff>161925</xdr:rowOff>
        </xdr:to>
        <xdr:sp macro="" textlink="">
          <xdr:nvSpPr>
            <xdr:cNvPr id="29840" name="Check Box 144" hidden="1">
              <a:extLst>
                <a:ext uri="{63B3BB69-23CF-44E3-9099-C40C66FF867C}">
                  <a14:compatExt spid="_x0000_s29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4</xdr:row>
          <xdr:rowOff>133350</xdr:rowOff>
        </xdr:from>
        <xdr:to>
          <xdr:col>7</xdr:col>
          <xdr:colOff>933450</xdr:colOff>
          <xdr:row>5</xdr:row>
          <xdr:rowOff>161925</xdr:rowOff>
        </xdr:to>
        <xdr:sp macro="" textlink="">
          <xdr:nvSpPr>
            <xdr:cNvPr id="29841" name="Check Box 145" hidden="1">
              <a:extLst>
                <a:ext uri="{63B3BB69-23CF-44E3-9099-C40C66FF867C}">
                  <a14:compatExt spid="_x0000_s29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5</xdr:row>
          <xdr:rowOff>142875</xdr:rowOff>
        </xdr:from>
        <xdr:to>
          <xdr:col>9</xdr:col>
          <xdr:colOff>1047750</xdr:colOff>
          <xdr:row>6</xdr:row>
          <xdr:rowOff>161925</xdr:rowOff>
        </xdr:to>
        <xdr:sp macro="" textlink="">
          <xdr:nvSpPr>
            <xdr:cNvPr id="29842" name="Check Box 146" hidden="1">
              <a:extLst>
                <a:ext uri="{63B3BB69-23CF-44E3-9099-C40C66FF867C}">
                  <a14:compatExt spid="_x0000_s29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6</xdr:row>
          <xdr:rowOff>152400</xdr:rowOff>
        </xdr:from>
        <xdr:to>
          <xdr:col>9</xdr:col>
          <xdr:colOff>1047750</xdr:colOff>
          <xdr:row>7</xdr:row>
          <xdr:rowOff>171450</xdr:rowOff>
        </xdr:to>
        <xdr:sp macro="" textlink="">
          <xdr:nvSpPr>
            <xdr:cNvPr id="29843" name="Check Box 147" hidden="1">
              <a:extLst>
                <a:ext uri="{63B3BB69-23CF-44E3-9099-C40C66FF867C}">
                  <a14:compatExt spid="_x0000_s29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7</xdr:row>
          <xdr:rowOff>142875</xdr:rowOff>
        </xdr:from>
        <xdr:to>
          <xdr:col>9</xdr:col>
          <xdr:colOff>1047750</xdr:colOff>
          <xdr:row>8</xdr:row>
          <xdr:rowOff>161925</xdr:rowOff>
        </xdr:to>
        <xdr:sp macro="" textlink="">
          <xdr:nvSpPr>
            <xdr:cNvPr id="29844" name="Check Box 148" hidden="1">
              <a:extLst>
                <a:ext uri="{63B3BB69-23CF-44E3-9099-C40C66FF867C}">
                  <a14:compatExt spid="_x0000_s29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8</xdr:row>
          <xdr:rowOff>161925</xdr:rowOff>
        </xdr:from>
        <xdr:to>
          <xdr:col>9</xdr:col>
          <xdr:colOff>1047750</xdr:colOff>
          <xdr:row>9</xdr:row>
          <xdr:rowOff>180975</xdr:rowOff>
        </xdr:to>
        <xdr:sp macro="" textlink="">
          <xdr:nvSpPr>
            <xdr:cNvPr id="29845" name="Check Box 149" hidden="1">
              <a:extLst>
                <a:ext uri="{63B3BB69-23CF-44E3-9099-C40C66FF867C}">
                  <a14:compatExt spid="_x0000_s29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10</xdr:row>
          <xdr:rowOff>152400</xdr:rowOff>
        </xdr:from>
        <xdr:to>
          <xdr:col>9</xdr:col>
          <xdr:colOff>1047750</xdr:colOff>
          <xdr:row>11</xdr:row>
          <xdr:rowOff>161925</xdr:rowOff>
        </xdr:to>
        <xdr:sp macro="" textlink="">
          <xdr:nvSpPr>
            <xdr:cNvPr id="29846" name="Check Box 150" hidden="1">
              <a:extLst>
                <a:ext uri="{63B3BB69-23CF-44E3-9099-C40C66FF867C}">
                  <a14:compatExt spid="_x0000_s29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11</xdr:row>
          <xdr:rowOff>152400</xdr:rowOff>
        </xdr:from>
        <xdr:to>
          <xdr:col>9</xdr:col>
          <xdr:colOff>1047750</xdr:colOff>
          <xdr:row>12</xdr:row>
          <xdr:rowOff>171450</xdr:rowOff>
        </xdr:to>
        <xdr:sp macro="" textlink="">
          <xdr:nvSpPr>
            <xdr:cNvPr id="29847" name="Check Box 151" hidden="1">
              <a:extLst>
                <a:ext uri="{63B3BB69-23CF-44E3-9099-C40C66FF867C}">
                  <a14:compatExt spid="_x0000_s29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12</xdr:row>
          <xdr:rowOff>142875</xdr:rowOff>
        </xdr:from>
        <xdr:to>
          <xdr:col>9</xdr:col>
          <xdr:colOff>1047750</xdr:colOff>
          <xdr:row>13</xdr:row>
          <xdr:rowOff>161925</xdr:rowOff>
        </xdr:to>
        <xdr:sp macro="" textlink="">
          <xdr:nvSpPr>
            <xdr:cNvPr id="29848" name="Check Box 152" hidden="1">
              <a:extLst>
                <a:ext uri="{63B3BB69-23CF-44E3-9099-C40C66FF867C}">
                  <a14:compatExt spid="_x0000_s29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13</xdr:row>
          <xdr:rowOff>152400</xdr:rowOff>
        </xdr:from>
        <xdr:to>
          <xdr:col>9</xdr:col>
          <xdr:colOff>1047750</xdr:colOff>
          <xdr:row>14</xdr:row>
          <xdr:rowOff>171450</xdr:rowOff>
        </xdr:to>
        <xdr:sp macro="" textlink="">
          <xdr:nvSpPr>
            <xdr:cNvPr id="29849" name="Check Box 153" hidden="1">
              <a:extLst>
                <a:ext uri="{63B3BB69-23CF-44E3-9099-C40C66FF867C}">
                  <a14:compatExt spid="_x0000_s29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14</xdr:row>
          <xdr:rowOff>133350</xdr:rowOff>
        </xdr:from>
        <xdr:to>
          <xdr:col>9</xdr:col>
          <xdr:colOff>1047750</xdr:colOff>
          <xdr:row>15</xdr:row>
          <xdr:rowOff>152400</xdr:rowOff>
        </xdr:to>
        <xdr:sp macro="" textlink="">
          <xdr:nvSpPr>
            <xdr:cNvPr id="29850" name="Check Box 154" hidden="1">
              <a:extLst>
                <a:ext uri="{63B3BB69-23CF-44E3-9099-C40C66FF867C}">
                  <a14:compatExt spid="_x0000_s29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15</xdr:row>
          <xdr:rowOff>133350</xdr:rowOff>
        </xdr:from>
        <xdr:to>
          <xdr:col>9</xdr:col>
          <xdr:colOff>1047750</xdr:colOff>
          <xdr:row>16</xdr:row>
          <xdr:rowOff>152400</xdr:rowOff>
        </xdr:to>
        <xdr:sp macro="" textlink="">
          <xdr:nvSpPr>
            <xdr:cNvPr id="29851" name="Check Box 155" hidden="1">
              <a:extLst>
                <a:ext uri="{63B3BB69-23CF-44E3-9099-C40C66FF867C}">
                  <a14:compatExt spid="_x0000_s29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16</xdr:row>
          <xdr:rowOff>161925</xdr:rowOff>
        </xdr:from>
        <xdr:to>
          <xdr:col>9</xdr:col>
          <xdr:colOff>1047750</xdr:colOff>
          <xdr:row>17</xdr:row>
          <xdr:rowOff>180975</xdr:rowOff>
        </xdr:to>
        <xdr:sp macro="" textlink="">
          <xdr:nvSpPr>
            <xdr:cNvPr id="29852" name="Check Box 156" hidden="1">
              <a:extLst>
                <a:ext uri="{63B3BB69-23CF-44E3-9099-C40C66FF867C}">
                  <a14:compatExt spid="_x0000_s29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17</xdr:row>
          <xdr:rowOff>152400</xdr:rowOff>
        </xdr:from>
        <xdr:to>
          <xdr:col>9</xdr:col>
          <xdr:colOff>1047750</xdr:colOff>
          <xdr:row>18</xdr:row>
          <xdr:rowOff>171450</xdr:rowOff>
        </xdr:to>
        <xdr:sp macro="" textlink="">
          <xdr:nvSpPr>
            <xdr:cNvPr id="29853" name="Check Box 157" hidden="1">
              <a:extLst>
                <a:ext uri="{63B3BB69-23CF-44E3-9099-C40C66FF867C}">
                  <a14:compatExt spid="_x0000_s29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18</xdr:row>
          <xdr:rowOff>142875</xdr:rowOff>
        </xdr:from>
        <xdr:to>
          <xdr:col>9</xdr:col>
          <xdr:colOff>1047750</xdr:colOff>
          <xdr:row>19</xdr:row>
          <xdr:rowOff>161925</xdr:rowOff>
        </xdr:to>
        <xdr:sp macro="" textlink="">
          <xdr:nvSpPr>
            <xdr:cNvPr id="29854" name="Check Box 158" hidden="1">
              <a:extLst>
                <a:ext uri="{63B3BB69-23CF-44E3-9099-C40C66FF867C}">
                  <a14:compatExt spid="_x0000_s29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19</xdr:row>
          <xdr:rowOff>133350</xdr:rowOff>
        </xdr:from>
        <xdr:to>
          <xdr:col>9</xdr:col>
          <xdr:colOff>1047750</xdr:colOff>
          <xdr:row>20</xdr:row>
          <xdr:rowOff>152400</xdr:rowOff>
        </xdr:to>
        <xdr:sp macro="" textlink="">
          <xdr:nvSpPr>
            <xdr:cNvPr id="29855" name="Check Box 159" hidden="1">
              <a:extLst>
                <a:ext uri="{63B3BB69-23CF-44E3-9099-C40C66FF867C}">
                  <a14:compatExt spid="_x0000_s29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20</xdr:row>
          <xdr:rowOff>142875</xdr:rowOff>
        </xdr:from>
        <xdr:to>
          <xdr:col>9</xdr:col>
          <xdr:colOff>1047750</xdr:colOff>
          <xdr:row>21</xdr:row>
          <xdr:rowOff>161925</xdr:rowOff>
        </xdr:to>
        <xdr:sp macro="" textlink="">
          <xdr:nvSpPr>
            <xdr:cNvPr id="29856" name="Check Box 160" hidden="1">
              <a:extLst>
                <a:ext uri="{63B3BB69-23CF-44E3-9099-C40C66FF867C}">
                  <a14:compatExt spid="_x0000_s29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21</xdr:row>
          <xdr:rowOff>133350</xdr:rowOff>
        </xdr:from>
        <xdr:to>
          <xdr:col>9</xdr:col>
          <xdr:colOff>1047750</xdr:colOff>
          <xdr:row>22</xdr:row>
          <xdr:rowOff>152400</xdr:rowOff>
        </xdr:to>
        <xdr:sp macro="" textlink="">
          <xdr:nvSpPr>
            <xdr:cNvPr id="29857" name="Check Box 161" hidden="1">
              <a:extLst>
                <a:ext uri="{63B3BB69-23CF-44E3-9099-C40C66FF867C}">
                  <a14:compatExt spid="_x0000_s29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22</xdr:row>
          <xdr:rowOff>133350</xdr:rowOff>
        </xdr:from>
        <xdr:to>
          <xdr:col>9</xdr:col>
          <xdr:colOff>1047750</xdr:colOff>
          <xdr:row>23</xdr:row>
          <xdr:rowOff>152400</xdr:rowOff>
        </xdr:to>
        <xdr:sp macro="" textlink="">
          <xdr:nvSpPr>
            <xdr:cNvPr id="29858" name="Check Box 162" hidden="1">
              <a:extLst>
                <a:ext uri="{63B3BB69-23CF-44E3-9099-C40C66FF867C}">
                  <a14:compatExt spid="_x0000_s29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23</xdr:row>
          <xdr:rowOff>133350</xdr:rowOff>
        </xdr:from>
        <xdr:to>
          <xdr:col>9</xdr:col>
          <xdr:colOff>1047750</xdr:colOff>
          <xdr:row>24</xdr:row>
          <xdr:rowOff>152400</xdr:rowOff>
        </xdr:to>
        <xdr:sp macro="" textlink="">
          <xdr:nvSpPr>
            <xdr:cNvPr id="29859" name="Check Box 163" hidden="1">
              <a:extLst>
                <a:ext uri="{63B3BB69-23CF-44E3-9099-C40C66FF867C}">
                  <a14:compatExt spid="_x0000_s29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24</xdr:row>
          <xdr:rowOff>161925</xdr:rowOff>
        </xdr:from>
        <xdr:to>
          <xdr:col>9</xdr:col>
          <xdr:colOff>1047750</xdr:colOff>
          <xdr:row>25</xdr:row>
          <xdr:rowOff>180975</xdr:rowOff>
        </xdr:to>
        <xdr:sp macro="" textlink="">
          <xdr:nvSpPr>
            <xdr:cNvPr id="29860" name="Check Box 164" hidden="1">
              <a:extLst>
                <a:ext uri="{63B3BB69-23CF-44E3-9099-C40C66FF867C}">
                  <a14:compatExt spid="_x0000_s29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25</xdr:row>
          <xdr:rowOff>171450</xdr:rowOff>
        </xdr:from>
        <xdr:to>
          <xdr:col>9</xdr:col>
          <xdr:colOff>1047750</xdr:colOff>
          <xdr:row>27</xdr:row>
          <xdr:rowOff>0</xdr:rowOff>
        </xdr:to>
        <xdr:sp macro="" textlink="">
          <xdr:nvSpPr>
            <xdr:cNvPr id="29861" name="Check Box 165" hidden="1">
              <a:extLst>
                <a:ext uri="{63B3BB69-23CF-44E3-9099-C40C66FF867C}">
                  <a14:compatExt spid="_x0000_s29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4</xdr:row>
          <xdr:rowOff>142875</xdr:rowOff>
        </xdr:from>
        <xdr:to>
          <xdr:col>9</xdr:col>
          <xdr:colOff>1095375</xdr:colOff>
          <xdr:row>5</xdr:row>
          <xdr:rowOff>161925</xdr:rowOff>
        </xdr:to>
        <xdr:sp macro="" textlink="">
          <xdr:nvSpPr>
            <xdr:cNvPr id="29862" name="Check Box 166" hidden="1">
              <a:extLst>
                <a:ext uri="{63B3BB69-23CF-44E3-9099-C40C66FF867C}">
                  <a14:compatExt spid="_x0000_s29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3</xdr:row>
          <xdr:rowOff>133350</xdr:rowOff>
        </xdr:from>
        <xdr:to>
          <xdr:col>10</xdr:col>
          <xdr:colOff>0</xdr:colOff>
          <xdr:row>4</xdr:row>
          <xdr:rowOff>171450</xdr:rowOff>
        </xdr:to>
        <xdr:sp macro="" textlink="">
          <xdr:nvSpPr>
            <xdr:cNvPr id="29863" name="Check Box 167" hidden="1">
              <a:extLst>
                <a:ext uri="{63B3BB69-23CF-44E3-9099-C40C66FF867C}">
                  <a14:compatExt spid="_x0000_s29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4</xdr:row>
          <xdr:rowOff>9525</xdr:rowOff>
        </xdr:from>
        <xdr:to>
          <xdr:col>10</xdr:col>
          <xdr:colOff>885825</xdr:colOff>
          <xdr:row>5</xdr:row>
          <xdr:rowOff>9525</xdr:rowOff>
        </xdr:to>
        <xdr:sp macro="" textlink="">
          <xdr:nvSpPr>
            <xdr:cNvPr id="29882" name="Check Box 186" hidden="1">
              <a:extLst>
                <a:ext uri="{63B3BB69-23CF-44E3-9099-C40C66FF867C}">
                  <a14:compatExt spid="_x0000_s29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3</xdr:row>
          <xdr:rowOff>133350</xdr:rowOff>
        </xdr:from>
        <xdr:to>
          <xdr:col>7</xdr:col>
          <xdr:colOff>933450</xdr:colOff>
          <xdr:row>4</xdr:row>
          <xdr:rowOff>161925</xdr:rowOff>
        </xdr:to>
        <xdr:sp macro="" textlink="">
          <xdr:nvSpPr>
            <xdr:cNvPr id="29886" name="Check Box 190" hidden="1">
              <a:extLst>
                <a:ext uri="{63B3BB69-23CF-44E3-9099-C40C66FF867C}">
                  <a14:compatExt spid="_x0000_s29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9</xdr:row>
          <xdr:rowOff>142875</xdr:rowOff>
        </xdr:from>
        <xdr:to>
          <xdr:col>9</xdr:col>
          <xdr:colOff>1047750</xdr:colOff>
          <xdr:row>10</xdr:row>
          <xdr:rowOff>161925</xdr:rowOff>
        </xdr:to>
        <xdr:sp macro="" textlink="">
          <xdr:nvSpPr>
            <xdr:cNvPr id="29887" name="Check Box 191" hidden="1">
              <a:extLst>
                <a:ext uri="{63B3BB69-23CF-44E3-9099-C40C66FF867C}">
                  <a14:compatExt spid="_x0000_s29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27</xdr:row>
          <xdr:rowOff>9525</xdr:rowOff>
        </xdr:from>
        <xdr:to>
          <xdr:col>7</xdr:col>
          <xdr:colOff>790575</xdr:colOff>
          <xdr:row>28</xdr:row>
          <xdr:rowOff>9525</xdr:rowOff>
        </xdr:to>
        <xdr:sp macro="" textlink="">
          <xdr:nvSpPr>
            <xdr:cNvPr id="29889" name="Check Box 193" hidden="1">
              <a:extLst>
                <a:ext uri="{63B3BB69-23CF-44E3-9099-C40C66FF867C}">
                  <a14:compatExt spid="_x0000_s2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28</xdr:row>
          <xdr:rowOff>0</xdr:rowOff>
        </xdr:from>
        <xdr:to>
          <xdr:col>7</xdr:col>
          <xdr:colOff>819150</xdr:colOff>
          <xdr:row>29</xdr:row>
          <xdr:rowOff>19050</xdr:rowOff>
        </xdr:to>
        <xdr:sp macro="" textlink="">
          <xdr:nvSpPr>
            <xdr:cNvPr id="29890" name="Check Box 194" hidden="1">
              <a:extLst>
                <a:ext uri="{63B3BB69-23CF-44E3-9099-C40C66FF867C}">
                  <a14:compatExt spid="_x0000_s2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29</xdr:row>
          <xdr:rowOff>0</xdr:rowOff>
        </xdr:from>
        <xdr:to>
          <xdr:col>7</xdr:col>
          <xdr:colOff>857250</xdr:colOff>
          <xdr:row>30</xdr:row>
          <xdr:rowOff>38100</xdr:rowOff>
        </xdr:to>
        <xdr:sp macro="" textlink="">
          <xdr:nvSpPr>
            <xdr:cNvPr id="29891" name="Check Box 195" hidden="1">
              <a:extLst>
                <a:ext uri="{63B3BB69-23CF-44E3-9099-C40C66FF867C}">
                  <a14:compatExt spid="_x0000_s2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29</xdr:row>
          <xdr:rowOff>171450</xdr:rowOff>
        </xdr:from>
        <xdr:to>
          <xdr:col>7</xdr:col>
          <xdr:colOff>857250</xdr:colOff>
          <xdr:row>31</xdr:row>
          <xdr:rowOff>9525</xdr:rowOff>
        </xdr:to>
        <xdr:sp macro="" textlink="">
          <xdr:nvSpPr>
            <xdr:cNvPr id="29892" name="Check Box 196" hidden="1">
              <a:extLst>
                <a:ext uri="{63B3BB69-23CF-44E3-9099-C40C66FF867C}">
                  <a14:compatExt spid="_x0000_s29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30</xdr:row>
          <xdr:rowOff>171450</xdr:rowOff>
        </xdr:from>
        <xdr:to>
          <xdr:col>7</xdr:col>
          <xdr:colOff>857250</xdr:colOff>
          <xdr:row>32</xdr:row>
          <xdr:rowOff>0</xdr:rowOff>
        </xdr:to>
        <xdr:sp macro="" textlink="">
          <xdr:nvSpPr>
            <xdr:cNvPr id="29893" name="Check Box 197" hidden="1">
              <a:extLst>
                <a:ext uri="{63B3BB69-23CF-44E3-9099-C40C66FF867C}">
                  <a14:compatExt spid="_x0000_s29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32</xdr:row>
          <xdr:rowOff>0</xdr:rowOff>
        </xdr:from>
        <xdr:to>
          <xdr:col>7</xdr:col>
          <xdr:colOff>885825</xdr:colOff>
          <xdr:row>33</xdr:row>
          <xdr:rowOff>9525</xdr:rowOff>
        </xdr:to>
        <xdr:sp macro="" textlink="">
          <xdr:nvSpPr>
            <xdr:cNvPr id="29894" name="Check Box 198" hidden="1">
              <a:extLst>
                <a:ext uri="{63B3BB69-23CF-44E3-9099-C40C66FF867C}">
                  <a14:compatExt spid="_x0000_s29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33</xdr:row>
          <xdr:rowOff>9525</xdr:rowOff>
        </xdr:from>
        <xdr:to>
          <xdr:col>7</xdr:col>
          <xdr:colOff>847725</xdr:colOff>
          <xdr:row>34</xdr:row>
          <xdr:rowOff>19050</xdr:rowOff>
        </xdr:to>
        <xdr:sp macro="" textlink="">
          <xdr:nvSpPr>
            <xdr:cNvPr id="29895" name="Check Box 199" hidden="1">
              <a:extLst>
                <a:ext uri="{63B3BB69-23CF-44E3-9099-C40C66FF867C}">
                  <a14:compatExt spid="_x0000_s29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26</xdr:row>
          <xdr:rowOff>152400</xdr:rowOff>
        </xdr:from>
        <xdr:to>
          <xdr:col>9</xdr:col>
          <xdr:colOff>1038225</xdr:colOff>
          <xdr:row>27</xdr:row>
          <xdr:rowOff>171450</xdr:rowOff>
        </xdr:to>
        <xdr:sp macro="" textlink="">
          <xdr:nvSpPr>
            <xdr:cNvPr id="29896" name="Check Box 200" hidden="1">
              <a:extLst>
                <a:ext uri="{63B3BB69-23CF-44E3-9099-C40C66FF867C}">
                  <a14:compatExt spid="_x0000_s29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27</xdr:row>
          <xdr:rowOff>161925</xdr:rowOff>
        </xdr:from>
        <xdr:to>
          <xdr:col>9</xdr:col>
          <xdr:colOff>1038225</xdr:colOff>
          <xdr:row>28</xdr:row>
          <xdr:rowOff>180975</xdr:rowOff>
        </xdr:to>
        <xdr:sp macro="" textlink="">
          <xdr:nvSpPr>
            <xdr:cNvPr id="29897" name="Check Box 201" hidden="1">
              <a:extLst>
                <a:ext uri="{63B3BB69-23CF-44E3-9099-C40C66FF867C}">
                  <a14:compatExt spid="_x0000_s29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28</xdr:row>
          <xdr:rowOff>152400</xdr:rowOff>
        </xdr:from>
        <xdr:to>
          <xdr:col>9</xdr:col>
          <xdr:colOff>1038225</xdr:colOff>
          <xdr:row>29</xdr:row>
          <xdr:rowOff>171450</xdr:rowOff>
        </xdr:to>
        <xdr:sp macro="" textlink="">
          <xdr:nvSpPr>
            <xdr:cNvPr id="29898" name="Check Box 202" hidden="1">
              <a:extLst>
                <a:ext uri="{63B3BB69-23CF-44E3-9099-C40C66FF867C}">
                  <a14:compatExt spid="_x0000_s29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29</xdr:row>
          <xdr:rowOff>152400</xdr:rowOff>
        </xdr:from>
        <xdr:to>
          <xdr:col>9</xdr:col>
          <xdr:colOff>1038225</xdr:colOff>
          <xdr:row>30</xdr:row>
          <xdr:rowOff>171450</xdr:rowOff>
        </xdr:to>
        <xdr:sp macro="" textlink="">
          <xdr:nvSpPr>
            <xdr:cNvPr id="29899" name="Check Box 203" hidden="1">
              <a:extLst>
                <a:ext uri="{63B3BB69-23CF-44E3-9099-C40C66FF867C}">
                  <a14:compatExt spid="_x0000_s29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30</xdr:row>
          <xdr:rowOff>152400</xdr:rowOff>
        </xdr:from>
        <xdr:to>
          <xdr:col>9</xdr:col>
          <xdr:colOff>1038225</xdr:colOff>
          <xdr:row>31</xdr:row>
          <xdr:rowOff>171450</xdr:rowOff>
        </xdr:to>
        <xdr:sp macro="" textlink="">
          <xdr:nvSpPr>
            <xdr:cNvPr id="29900" name="Check Box 204" hidden="1">
              <a:extLst>
                <a:ext uri="{63B3BB69-23CF-44E3-9099-C40C66FF867C}">
                  <a14:compatExt spid="_x0000_s29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31</xdr:row>
          <xdr:rowOff>180975</xdr:rowOff>
        </xdr:from>
        <xdr:to>
          <xdr:col>9</xdr:col>
          <xdr:colOff>1038225</xdr:colOff>
          <xdr:row>33</xdr:row>
          <xdr:rowOff>9525</xdr:rowOff>
        </xdr:to>
        <xdr:sp macro="" textlink="">
          <xdr:nvSpPr>
            <xdr:cNvPr id="29901" name="Check Box 205" hidden="1">
              <a:extLst>
                <a:ext uri="{63B3BB69-23CF-44E3-9099-C40C66FF867C}">
                  <a14:compatExt spid="_x0000_s2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32</xdr:row>
          <xdr:rowOff>171450</xdr:rowOff>
        </xdr:from>
        <xdr:to>
          <xdr:col>9</xdr:col>
          <xdr:colOff>1038225</xdr:colOff>
          <xdr:row>34</xdr:row>
          <xdr:rowOff>0</xdr:rowOff>
        </xdr:to>
        <xdr:sp macro="" textlink="">
          <xdr:nvSpPr>
            <xdr:cNvPr id="29902" name="Check Box 206" hidden="1">
              <a:extLst>
                <a:ext uri="{63B3BB69-23CF-44E3-9099-C40C66FF867C}">
                  <a14:compatExt spid="_x0000_s2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34</xdr:row>
          <xdr:rowOff>9525</xdr:rowOff>
        </xdr:from>
        <xdr:to>
          <xdr:col>7</xdr:col>
          <xdr:colOff>828675</xdr:colOff>
          <xdr:row>35</xdr:row>
          <xdr:rowOff>19050</xdr:rowOff>
        </xdr:to>
        <xdr:sp macro="" textlink="">
          <xdr:nvSpPr>
            <xdr:cNvPr id="29910" name="Check Box 214" hidden="1">
              <a:extLst>
                <a:ext uri="{63B3BB69-23CF-44E3-9099-C40C66FF867C}">
                  <a14:compatExt spid="_x0000_s29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33</xdr:row>
          <xdr:rowOff>152400</xdr:rowOff>
        </xdr:from>
        <xdr:to>
          <xdr:col>9</xdr:col>
          <xdr:colOff>1038225</xdr:colOff>
          <xdr:row>34</xdr:row>
          <xdr:rowOff>171450</xdr:rowOff>
        </xdr:to>
        <xdr:sp macro="" textlink="">
          <xdr:nvSpPr>
            <xdr:cNvPr id="29911" name="Check Box 215" hidden="1">
              <a:extLst>
                <a:ext uri="{63B3BB69-23CF-44E3-9099-C40C66FF867C}">
                  <a14:compatExt spid="_x0000_s29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4</xdr:row>
          <xdr:rowOff>180975</xdr:rowOff>
        </xdr:from>
        <xdr:to>
          <xdr:col>10</xdr:col>
          <xdr:colOff>962025</xdr:colOff>
          <xdr:row>6</xdr:row>
          <xdr:rowOff>9525</xdr:rowOff>
        </xdr:to>
        <xdr:sp macro="" textlink="">
          <xdr:nvSpPr>
            <xdr:cNvPr id="29913" name="Check Box 217" hidden="1">
              <a:extLst>
                <a:ext uri="{63B3BB69-23CF-44E3-9099-C40C66FF867C}">
                  <a14:compatExt spid="_x0000_s2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6</xdr:row>
          <xdr:rowOff>9525</xdr:rowOff>
        </xdr:from>
        <xdr:to>
          <xdr:col>10</xdr:col>
          <xdr:colOff>876300</xdr:colOff>
          <xdr:row>7</xdr:row>
          <xdr:rowOff>9525</xdr:rowOff>
        </xdr:to>
        <xdr:sp macro="" textlink="">
          <xdr:nvSpPr>
            <xdr:cNvPr id="29914" name="Check Box 218" hidden="1">
              <a:extLst>
                <a:ext uri="{63B3BB69-23CF-44E3-9099-C40C66FF867C}">
                  <a14:compatExt spid="_x0000_s29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6</xdr:row>
          <xdr:rowOff>171450</xdr:rowOff>
        </xdr:from>
        <xdr:to>
          <xdr:col>10</xdr:col>
          <xdr:colOff>876300</xdr:colOff>
          <xdr:row>8</xdr:row>
          <xdr:rowOff>9525</xdr:rowOff>
        </xdr:to>
        <xdr:sp macro="" textlink="">
          <xdr:nvSpPr>
            <xdr:cNvPr id="29915" name="Check Box 219" hidden="1">
              <a:extLst>
                <a:ext uri="{63B3BB69-23CF-44E3-9099-C40C66FF867C}">
                  <a14:compatExt spid="_x0000_s29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8</xdr:row>
          <xdr:rowOff>0</xdr:rowOff>
        </xdr:from>
        <xdr:to>
          <xdr:col>10</xdr:col>
          <xdr:colOff>914400</xdr:colOff>
          <xdr:row>9</xdr:row>
          <xdr:rowOff>9525</xdr:rowOff>
        </xdr:to>
        <xdr:sp macro="" textlink="">
          <xdr:nvSpPr>
            <xdr:cNvPr id="29916" name="Check Box 220" hidden="1">
              <a:extLst>
                <a:ext uri="{63B3BB69-23CF-44E3-9099-C40C66FF867C}">
                  <a14:compatExt spid="_x0000_s29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8</xdr:row>
          <xdr:rowOff>171450</xdr:rowOff>
        </xdr:from>
        <xdr:to>
          <xdr:col>10</xdr:col>
          <xdr:colOff>866775</xdr:colOff>
          <xdr:row>10</xdr:row>
          <xdr:rowOff>9525</xdr:rowOff>
        </xdr:to>
        <xdr:sp macro="" textlink="">
          <xdr:nvSpPr>
            <xdr:cNvPr id="29917" name="Check Box 221" hidden="1">
              <a:extLst>
                <a:ext uri="{63B3BB69-23CF-44E3-9099-C40C66FF867C}">
                  <a14:compatExt spid="_x0000_s29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9</xdr:row>
          <xdr:rowOff>171450</xdr:rowOff>
        </xdr:from>
        <xdr:to>
          <xdr:col>10</xdr:col>
          <xdr:colOff>942975</xdr:colOff>
          <xdr:row>11</xdr:row>
          <xdr:rowOff>0</xdr:rowOff>
        </xdr:to>
        <xdr:sp macro="" textlink="">
          <xdr:nvSpPr>
            <xdr:cNvPr id="29918" name="Check Box 222" hidden="1">
              <a:extLst>
                <a:ext uri="{63B3BB69-23CF-44E3-9099-C40C66FF867C}">
                  <a14:compatExt spid="_x0000_s29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10</xdr:row>
          <xdr:rowOff>180975</xdr:rowOff>
        </xdr:from>
        <xdr:to>
          <xdr:col>10</xdr:col>
          <xdr:colOff>866775</xdr:colOff>
          <xdr:row>12</xdr:row>
          <xdr:rowOff>9525</xdr:rowOff>
        </xdr:to>
        <xdr:sp macro="" textlink="">
          <xdr:nvSpPr>
            <xdr:cNvPr id="29919" name="Check Box 223" hidden="1">
              <a:extLst>
                <a:ext uri="{63B3BB69-23CF-44E3-9099-C40C66FF867C}">
                  <a14:compatExt spid="_x0000_s29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12</xdr:row>
          <xdr:rowOff>0</xdr:rowOff>
        </xdr:from>
        <xdr:to>
          <xdr:col>10</xdr:col>
          <xdr:colOff>895350</xdr:colOff>
          <xdr:row>13</xdr:row>
          <xdr:rowOff>9525</xdr:rowOff>
        </xdr:to>
        <xdr:sp macro="" textlink="">
          <xdr:nvSpPr>
            <xdr:cNvPr id="29920" name="Check Box 224" hidden="1">
              <a:extLst>
                <a:ext uri="{63B3BB69-23CF-44E3-9099-C40C66FF867C}">
                  <a14:compatExt spid="_x0000_s29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12</xdr:row>
          <xdr:rowOff>180975</xdr:rowOff>
        </xdr:from>
        <xdr:to>
          <xdr:col>10</xdr:col>
          <xdr:colOff>904875</xdr:colOff>
          <xdr:row>14</xdr:row>
          <xdr:rowOff>9525</xdr:rowOff>
        </xdr:to>
        <xdr:sp macro="" textlink="">
          <xdr:nvSpPr>
            <xdr:cNvPr id="29921" name="Check Box 225" hidden="1">
              <a:extLst>
                <a:ext uri="{63B3BB69-23CF-44E3-9099-C40C66FF867C}">
                  <a14:compatExt spid="_x0000_s29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14</xdr:row>
          <xdr:rowOff>0</xdr:rowOff>
        </xdr:from>
        <xdr:to>
          <xdr:col>10</xdr:col>
          <xdr:colOff>904875</xdr:colOff>
          <xdr:row>15</xdr:row>
          <xdr:rowOff>9525</xdr:rowOff>
        </xdr:to>
        <xdr:sp macro="" textlink="">
          <xdr:nvSpPr>
            <xdr:cNvPr id="29922" name="Check Box 226" hidden="1">
              <a:extLst>
                <a:ext uri="{63B3BB69-23CF-44E3-9099-C40C66FF867C}">
                  <a14:compatExt spid="_x0000_s29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15</xdr:row>
          <xdr:rowOff>9525</xdr:rowOff>
        </xdr:from>
        <xdr:to>
          <xdr:col>10</xdr:col>
          <xdr:colOff>895350</xdr:colOff>
          <xdr:row>16</xdr:row>
          <xdr:rowOff>9525</xdr:rowOff>
        </xdr:to>
        <xdr:sp macro="" textlink="">
          <xdr:nvSpPr>
            <xdr:cNvPr id="29923" name="Check Box 227" hidden="1">
              <a:extLst>
                <a:ext uri="{63B3BB69-23CF-44E3-9099-C40C66FF867C}">
                  <a14:compatExt spid="_x0000_s29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16</xdr:row>
          <xdr:rowOff>0</xdr:rowOff>
        </xdr:from>
        <xdr:to>
          <xdr:col>10</xdr:col>
          <xdr:colOff>952500</xdr:colOff>
          <xdr:row>17</xdr:row>
          <xdr:rowOff>9525</xdr:rowOff>
        </xdr:to>
        <xdr:sp macro="" textlink="">
          <xdr:nvSpPr>
            <xdr:cNvPr id="29924" name="Check Box 228" hidden="1">
              <a:extLst>
                <a:ext uri="{63B3BB69-23CF-44E3-9099-C40C66FF867C}">
                  <a14:compatExt spid="_x0000_s29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17</xdr:row>
          <xdr:rowOff>0</xdr:rowOff>
        </xdr:from>
        <xdr:to>
          <xdr:col>10</xdr:col>
          <xdr:colOff>838200</xdr:colOff>
          <xdr:row>18</xdr:row>
          <xdr:rowOff>9525</xdr:rowOff>
        </xdr:to>
        <xdr:sp macro="" textlink="">
          <xdr:nvSpPr>
            <xdr:cNvPr id="29925" name="Check Box 229" hidden="1">
              <a:extLst>
                <a:ext uri="{63B3BB69-23CF-44E3-9099-C40C66FF867C}">
                  <a14:compatExt spid="_x0000_s29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18</xdr:row>
          <xdr:rowOff>0</xdr:rowOff>
        </xdr:from>
        <xdr:to>
          <xdr:col>10</xdr:col>
          <xdr:colOff>847725</xdr:colOff>
          <xdr:row>19</xdr:row>
          <xdr:rowOff>9525</xdr:rowOff>
        </xdr:to>
        <xdr:sp macro="" textlink="">
          <xdr:nvSpPr>
            <xdr:cNvPr id="29926" name="Check Box 230" hidden="1">
              <a:extLst>
                <a:ext uri="{63B3BB69-23CF-44E3-9099-C40C66FF867C}">
                  <a14:compatExt spid="_x0000_s29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19</xdr:row>
          <xdr:rowOff>0</xdr:rowOff>
        </xdr:from>
        <xdr:to>
          <xdr:col>10</xdr:col>
          <xdr:colOff>885825</xdr:colOff>
          <xdr:row>20</xdr:row>
          <xdr:rowOff>9525</xdr:rowOff>
        </xdr:to>
        <xdr:sp macro="" textlink="">
          <xdr:nvSpPr>
            <xdr:cNvPr id="29927" name="Check Box 231" hidden="1">
              <a:extLst>
                <a:ext uri="{63B3BB69-23CF-44E3-9099-C40C66FF867C}">
                  <a14:compatExt spid="_x0000_s29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19</xdr:row>
          <xdr:rowOff>180975</xdr:rowOff>
        </xdr:from>
        <xdr:to>
          <xdr:col>10</xdr:col>
          <xdr:colOff>866775</xdr:colOff>
          <xdr:row>21</xdr:row>
          <xdr:rowOff>9525</xdr:rowOff>
        </xdr:to>
        <xdr:sp macro="" textlink="">
          <xdr:nvSpPr>
            <xdr:cNvPr id="29928" name="Check Box 232" hidden="1">
              <a:extLst>
                <a:ext uri="{63B3BB69-23CF-44E3-9099-C40C66FF867C}">
                  <a14:compatExt spid="_x0000_s29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20</xdr:row>
          <xdr:rowOff>171450</xdr:rowOff>
        </xdr:from>
        <xdr:to>
          <xdr:col>10</xdr:col>
          <xdr:colOff>914400</xdr:colOff>
          <xdr:row>22</xdr:row>
          <xdr:rowOff>9525</xdr:rowOff>
        </xdr:to>
        <xdr:sp macro="" textlink="">
          <xdr:nvSpPr>
            <xdr:cNvPr id="29929" name="Check Box 233" hidden="1">
              <a:extLst>
                <a:ext uri="{63B3BB69-23CF-44E3-9099-C40C66FF867C}">
                  <a14:compatExt spid="_x0000_s29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21</xdr:row>
          <xdr:rowOff>180975</xdr:rowOff>
        </xdr:from>
        <xdr:to>
          <xdr:col>10</xdr:col>
          <xdr:colOff>866775</xdr:colOff>
          <xdr:row>23</xdr:row>
          <xdr:rowOff>9525</xdr:rowOff>
        </xdr:to>
        <xdr:sp macro="" textlink="">
          <xdr:nvSpPr>
            <xdr:cNvPr id="29930" name="Check Box 234" hidden="1">
              <a:extLst>
                <a:ext uri="{63B3BB69-23CF-44E3-9099-C40C66FF867C}">
                  <a14:compatExt spid="_x0000_s29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23</xdr:row>
          <xdr:rowOff>0</xdr:rowOff>
        </xdr:from>
        <xdr:to>
          <xdr:col>10</xdr:col>
          <xdr:colOff>876300</xdr:colOff>
          <xdr:row>24</xdr:row>
          <xdr:rowOff>9525</xdr:rowOff>
        </xdr:to>
        <xdr:sp macro="" textlink="">
          <xdr:nvSpPr>
            <xdr:cNvPr id="29931" name="Check Box 235" hidden="1">
              <a:extLst>
                <a:ext uri="{63B3BB69-23CF-44E3-9099-C40C66FF867C}">
                  <a14:compatExt spid="_x0000_s29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24</xdr:row>
          <xdr:rowOff>0</xdr:rowOff>
        </xdr:from>
        <xdr:to>
          <xdr:col>10</xdr:col>
          <xdr:colOff>876300</xdr:colOff>
          <xdr:row>25</xdr:row>
          <xdr:rowOff>9525</xdr:rowOff>
        </xdr:to>
        <xdr:sp macro="" textlink="">
          <xdr:nvSpPr>
            <xdr:cNvPr id="29932" name="Check Box 236" hidden="1">
              <a:extLst>
                <a:ext uri="{63B3BB69-23CF-44E3-9099-C40C66FF867C}">
                  <a14:compatExt spid="_x0000_s29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24</xdr:row>
          <xdr:rowOff>180975</xdr:rowOff>
        </xdr:from>
        <xdr:to>
          <xdr:col>10</xdr:col>
          <xdr:colOff>904875</xdr:colOff>
          <xdr:row>26</xdr:row>
          <xdr:rowOff>9525</xdr:rowOff>
        </xdr:to>
        <xdr:sp macro="" textlink="">
          <xdr:nvSpPr>
            <xdr:cNvPr id="29933" name="Check Box 237" hidden="1">
              <a:extLst>
                <a:ext uri="{63B3BB69-23CF-44E3-9099-C40C66FF867C}">
                  <a14:compatExt spid="_x0000_s29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26</xdr:row>
          <xdr:rowOff>0</xdr:rowOff>
        </xdr:from>
        <xdr:to>
          <xdr:col>10</xdr:col>
          <xdr:colOff>876300</xdr:colOff>
          <xdr:row>27</xdr:row>
          <xdr:rowOff>9525</xdr:rowOff>
        </xdr:to>
        <xdr:sp macro="" textlink="">
          <xdr:nvSpPr>
            <xdr:cNvPr id="29934" name="Check Box 238" hidden="1">
              <a:extLst>
                <a:ext uri="{63B3BB69-23CF-44E3-9099-C40C66FF867C}">
                  <a14:compatExt spid="_x0000_s29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26</xdr:row>
          <xdr:rowOff>171450</xdr:rowOff>
        </xdr:from>
        <xdr:to>
          <xdr:col>10</xdr:col>
          <xdr:colOff>933450</xdr:colOff>
          <xdr:row>28</xdr:row>
          <xdr:rowOff>9525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27</xdr:row>
          <xdr:rowOff>171450</xdr:rowOff>
        </xdr:from>
        <xdr:to>
          <xdr:col>10</xdr:col>
          <xdr:colOff>933450</xdr:colOff>
          <xdr:row>29</xdr:row>
          <xdr:rowOff>9525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29</xdr:row>
          <xdr:rowOff>0</xdr:rowOff>
        </xdr:from>
        <xdr:to>
          <xdr:col>10</xdr:col>
          <xdr:colOff>885825</xdr:colOff>
          <xdr:row>30</xdr:row>
          <xdr:rowOff>9525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29</xdr:row>
          <xdr:rowOff>180975</xdr:rowOff>
        </xdr:from>
        <xdr:to>
          <xdr:col>10</xdr:col>
          <xdr:colOff>904875</xdr:colOff>
          <xdr:row>31</xdr:row>
          <xdr:rowOff>9525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31</xdr:row>
          <xdr:rowOff>0</xdr:rowOff>
        </xdr:from>
        <xdr:to>
          <xdr:col>10</xdr:col>
          <xdr:colOff>923925</xdr:colOff>
          <xdr:row>32</xdr:row>
          <xdr:rowOff>9525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31</xdr:row>
          <xdr:rowOff>171450</xdr:rowOff>
        </xdr:from>
        <xdr:to>
          <xdr:col>10</xdr:col>
          <xdr:colOff>923925</xdr:colOff>
          <xdr:row>33</xdr:row>
          <xdr:rowOff>9525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32</xdr:row>
          <xdr:rowOff>171450</xdr:rowOff>
        </xdr:from>
        <xdr:to>
          <xdr:col>10</xdr:col>
          <xdr:colOff>895350</xdr:colOff>
          <xdr:row>34</xdr:row>
          <xdr:rowOff>9525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33</xdr:row>
          <xdr:rowOff>171450</xdr:rowOff>
        </xdr:from>
        <xdr:to>
          <xdr:col>10</xdr:col>
          <xdr:colOff>962025</xdr:colOff>
          <xdr:row>34</xdr:row>
          <xdr:rowOff>180975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6</xdr:row>
          <xdr:rowOff>180975</xdr:rowOff>
        </xdr:from>
        <xdr:to>
          <xdr:col>8</xdr:col>
          <xdr:colOff>895350</xdr:colOff>
          <xdr:row>7</xdr:row>
          <xdr:rowOff>180975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7</xdr:row>
          <xdr:rowOff>180975</xdr:rowOff>
        </xdr:from>
        <xdr:to>
          <xdr:col>8</xdr:col>
          <xdr:colOff>819150</xdr:colOff>
          <xdr:row>9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8</xdr:row>
          <xdr:rowOff>180975</xdr:rowOff>
        </xdr:from>
        <xdr:to>
          <xdr:col>8</xdr:col>
          <xdr:colOff>819150</xdr:colOff>
          <xdr:row>10</xdr:row>
          <xdr:rowOff>0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9</xdr:row>
          <xdr:rowOff>152400</xdr:rowOff>
        </xdr:from>
        <xdr:to>
          <xdr:col>8</xdr:col>
          <xdr:colOff>819150</xdr:colOff>
          <xdr:row>10</xdr:row>
          <xdr:rowOff>171450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10</xdr:row>
          <xdr:rowOff>152400</xdr:rowOff>
        </xdr:from>
        <xdr:to>
          <xdr:col>8</xdr:col>
          <xdr:colOff>838200</xdr:colOff>
          <xdr:row>12</xdr:row>
          <xdr:rowOff>0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11</xdr:row>
          <xdr:rowOff>161925</xdr:rowOff>
        </xdr:from>
        <xdr:to>
          <xdr:col>8</xdr:col>
          <xdr:colOff>847725</xdr:colOff>
          <xdr:row>12</xdr:row>
          <xdr:rowOff>180975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12</xdr:row>
          <xdr:rowOff>180975</xdr:rowOff>
        </xdr:from>
        <xdr:to>
          <xdr:col>8</xdr:col>
          <xdr:colOff>809625</xdr:colOff>
          <xdr:row>14</xdr:row>
          <xdr:rowOff>9525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13</xdr:row>
          <xdr:rowOff>171450</xdr:rowOff>
        </xdr:from>
        <xdr:to>
          <xdr:col>8</xdr:col>
          <xdr:colOff>819150</xdr:colOff>
          <xdr:row>14</xdr:row>
          <xdr:rowOff>180975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14</xdr:row>
          <xdr:rowOff>171450</xdr:rowOff>
        </xdr:from>
        <xdr:to>
          <xdr:col>8</xdr:col>
          <xdr:colOff>790575</xdr:colOff>
          <xdr:row>15</xdr:row>
          <xdr:rowOff>180975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16</xdr:row>
          <xdr:rowOff>0</xdr:rowOff>
        </xdr:from>
        <xdr:to>
          <xdr:col>8</xdr:col>
          <xdr:colOff>838200</xdr:colOff>
          <xdr:row>17</xdr:row>
          <xdr:rowOff>19050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16</xdr:row>
          <xdr:rowOff>180975</xdr:rowOff>
        </xdr:from>
        <xdr:to>
          <xdr:col>8</xdr:col>
          <xdr:colOff>866775</xdr:colOff>
          <xdr:row>17</xdr:row>
          <xdr:rowOff>180975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17</xdr:row>
          <xdr:rowOff>171450</xdr:rowOff>
        </xdr:from>
        <xdr:to>
          <xdr:col>8</xdr:col>
          <xdr:colOff>838200</xdr:colOff>
          <xdr:row>18</xdr:row>
          <xdr:rowOff>180975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18</xdr:row>
          <xdr:rowOff>180975</xdr:rowOff>
        </xdr:from>
        <xdr:to>
          <xdr:col>8</xdr:col>
          <xdr:colOff>809625</xdr:colOff>
          <xdr:row>20</xdr:row>
          <xdr:rowOff>0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20</xdr:row>
          <xdr:rowOff>9525</xdr:rowOff>
        </xdr:from>
        <xdr:to>
          <xdr:col>8</xdr:col>
          <xdr:colOff>781050</xdr:colOff>
          <xdr:row>21</xdr:row>
          <xdr:rowOff>9525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20</xdr:row>
          <xdr:rowOff>161925</xdr:rowOff>
        </xdr:from>
        <xdr:to>
          <xdr:col>8</xdr:col>
          <xdr:colOff>809625</xdr:colOff>
          <xdr:row>21</xdr:row>
          <xdr:rowOff>180975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21</xdr:row>
          <xdr:rowOff>161925</xdr:rowOff>
        </xdr:from>
        <xdr:to>
          <xdr:col>8</xdr:col>
          <xdr:colOff>838200</xdr:colOff>
          <xdr:row>23</xdr:row>
          <xdr:rowOff>9525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22</xdr:row>
          <xdr:rowOff>161925</xdr:rowOff>
        </xdr:from>
        <xdr:to>
          <xdr:col>8</xdr:col>
          <xdr:colOff>838200</xdr:colOff>
          <xdr:row>24</xdr:row>
          <xdr:rowOff>0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23</xdr:row>
          <xdr:rowOff>180975</xdr:rowOff>
        </xdr:from>
        <xdr:to>
          <xdr:col>8</xdr:col>
          <xdr:colOff>838200</xdr:colOff>
          <xdr:row>25</xdr:row>
          <xdr:rowOff>9525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171450</xdr:rowOff>
        </xdr:from>
        <xdr:to>
          <xdr:col>8</xdr:col>
          <xdr:colOff>819150</xdr:colOff>
          <xdr:row>25</xdr:row>
          <xdr:rowOff>180975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25</xdr:row>
          <xdr:rowOff>180975</xdr:rowOff>
        </xdr:from>
        <xdr:to>
          <xdr:col>8</xdr:col>
          <xdr:colOff>800100</xdr:colOff>
          <xdr:row>27</xdr:row>
          <xdr:rowOff>0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5</xdr:row>
          <xdr:rowOff>180975</xdr:rowOff>
        </xdr:from>
        <xdr:to>
          <xdr:col>8</xdr:col>
          <xdr:colOff>933450</xdr:colOff>
          <xdr:row>7</xdr:row>
          <xdr:rowOff>0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</xdr:row>
          <xdr:rowOff>161925</xdr:rowOff>
        </xdr:from>
        <xdr:to>
          <xdr:col>8</xdr:col>
          <xdr:colOff>904875</xdr:colOff>
          <xdr:row>6</xdr:row>
          <xdr:rowOff>0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</xdr:row>
          <xdr:rowOff>161925</xdr:rowOff>
        </xdr:from>
        <xdr:to>
          <xdr:col>8</xdr:col>
          <xdr:colOff>904875</xdr:colOff>
          <xdr:row>5</xdr:row>
          <xdr:rowOff>0</xdr:rowOff>
        </xdr:to>
        <xdr:sp macro="" textlink="">
          <xdr:nvSpPr>
            <xdr:cNvPr id="29965" name="Check Box 269" hidden="1">
              <a:extLst>
                <a:ext uri="{63B3BB69-23CF-44E3-9099-C40C66FF867C}">
                  <a14:compatExt spid="_x0000_s29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27</xdr:row>
          <xdr:rowOff>28575</xdr:rowOff>
        </xdr:from>
        <xdr:to>
          <xdr:col>8</xdr:col>
          <xdr:colOff>771525</xdr:colOff>
          <xdr:row>28</xdr:row>
          <xdr:rowOff>28575</xdr:rowOff>
        </xdr:to>
        <xdr:sp macro="" textlink="">
          <xdr:nvSpPr>
            <xdr:cNvPr id="29966" name="Check Box 270" hidden="1">
              <a:extLst>
                <a:ext uri="{63B3BB69-23CF-44E3-9099-C40C66FF867C}">
                  <a14:compatExt spid="_x0000_s29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28</xdr:row>
          <xdr:rowOff>9525</xdr:rowOff>
        </xdr:from>
        <xdr:to>
          <xdr:col>8</xdr:col>
          <xdr:colOff>790575</xdr:colOff>
          <xdr:row>29</xdr:row>
          <xdr:rowOff>28575</xdr:rowOff>
        </xdr:to>
        <xdr:sp macro="" textlink="">
          <xdr:nvSpPr>
            <xdr:cNvPr id="29967" name="Check Box 271" hidden="1">
              <a:extLst>
                <a:ext uri="{63B3BB69-23CF-44E3-9099-C40C66FF867C}">
                  <a14:compatExt spid="_x0000_s2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180975</xdr:rowOff>
        </xdr:from>
        <xdr:to>
          <xdr:col>8</xdr:col>
          <xdr:colOff>828675</xdr:colOff>
          <xdr:row>30</xdr:row>
          <xdr:rowOff>28575</xdr:rowOff>
        </xdr:to>
        <xdr:sp macro="" textlink="">
          <xdr:nvSpPr>
            <xdr:cNvPr id="29968" name="Check Box 272" hidden="1">
              <a:extLst>
                <a:ext uri="{63B3BB69-23CF-44E3-9099-C40C66FF867C}">
                  <a14:compatExt spid="_x0000_s29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29</xdr:row>
          <xdr:rowOff>180975</xdr:rowOff>
        </xdr:from>
        <xdr:to>
          <xdr:col>8</xdr:col>
          <xdr:colOff>828675</xdr:colOff>
          <xdr:row>31</xdr:row>
          <xdr:rowOff>19050</xdr:rowOff>
        </xdr:to>
        <xdr:sp macro="" textlink="">
          <xdr:nvSpPr>
            <xdr:cNvPr id="29969" name="Check Box 273" hidden="1">
              <a:extLst>
                <a:ext uri="{63B3BB69-23CF-44E3-9099-C40C66FF867C}">
                  <a14:compatExt spid="_x0000_s2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9525</xdr:rowOff>
        </xdr:from>
        <xdr:to>
          <xdr:col>8</xdr:col>
          <xdr:colOff>828675</xdr:colOff>
          <xdr:row>32</xdr:row>
          <xdr:rowOff>28575</xdr:rowOff>
        </xdr:to>
        <xdr:sp macro="" textlink="">
          <xdr:nvSpPr>
            <xdr:cNvPr id="29970" name="Check Box 274" hidden="1">
              <a:extLst>
                <a:ext uri="{63B3BB69-23CF-44E3-9099-C40C66FF867C}">
                  <a14:compatExt spid="_x0000_s29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32</xdr:row>
          <xdr:rowOff>0</xdr:rowOff>
        </xdr:from>
        <xdr:to>
          <xdr:col>8</xdr:col>
          <xdr:colOff>809625</xdr:colOff>
          <xdr:row>33</xdr:row>
          <xdr:rowOff>9525</xdr:rowOff>
        </xdr:to>
        <xdr:sp macro="" textlink="">
          <xdr:nvSpPr>
            <xdr:cNvPr id="29971" name="Check Box 275" hidden="1">
              <a:extLst>
                <a:ext uri="{63B3BB69-23CF-44E3-9099-C40C66FF867C}">
                  <a14:compatExt spid="_x0000_s29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32</xdr:row>
          <xdr:rowOff>180975</xdr:rowOff>
        </xdr:from>
        <xdr:to>
          <xdr:col>8</xdr:col>
          <xdr:colOff>790575</xdr:colOff>
          <xdr:row>34</xdr:row>
          <xdr:rowOff>0</xdr:rowOff>
        </xdr:to>
        <xdr:sp macro="" textlink="">
          <xdr:nvSpPr>
            <xdr:cNvPr id="29972" name="Check Box 276" hidden="1">
              <a:extLst>
                <a:ext uri="{63B3BB69-23CF-44E3-9099-C40C66FF867C}">
                  <a14:compatExt spid="_x0000_s29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33</xdr:row>
          <xdr:rowOff>161925</xdr:rowOff>
        </xdr:from>
        <xdr:to>
          <xdr:col>8</xdr:col>
          <xdr:colOff>790575</xdr:colOff>
          <xdr:row>34</xdr:row>
          <xdr:rowOff>171450</xdr:rowOff>
        </xdr:to>
        <xdr:sp macro="" textlink="">
          <xdr:nvSpPr>
            <xdr:cNvPr id="29973" name="Check Box 277" hidden="1">
              <a:extLst>
                <a:ext uri="{63B3BB69-23CF-44E3-9099-C40C66FF867C}">
                  <a14:compatExt spid="_x0000_s29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866775</xdr:colOff>
          <xdr:row>0</xdr:row>
          <xdr:rowOff>152400</xdr:rowOff>
        </xdr:from>
        <xdr:to>
          <xdr:col>13</xdr:col>
          <xdr:colOff>390525</xdr:colOff>
          <xdr:row>1</xdr:row>
          <xdr:rowOff>171450</xdr:rowOff>
        </xdr:to>
        <xdr:sp macro="" textlink="">
          <xdr:nvSpPr>
            <xdr:cNvPr id="29974" name="Button 278" hidden="1">
              <a:extLst>
                <a:ext uri="{63B3BB69-23CF-44E3-9099-C40C66FF867C}">
                  <a14:compatExt spid="_x0000_s29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485775</xdr:colOff>
      <xdr:row>0</xdr:row>
      <xdr:rowOff>76200</xdr:rowOff>
    </xdr:from>
    <xdr:to>
      <xdr:col>17</xdr:col>
      <xdr:colOff>238125</xdr:colOff>
      <xdr:row>7</xdr:row>
      <xdr:rowOff>171450</xdr:rowOff>
    </xdr:to>
    <xdr:pic>
      <xdr:nvPicPr>
        <xdr:cNvPr id="127" name="Picture 12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3850" y="76200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6</xdr:row>
          <xdr:rowOff>171450</xdr:rowOff>
        </xdr:from>
        <xdr:to>
          <xdr:col>7</xdr:col>
          <xdr:colOff>1019175</xdr:colOff>
          <xdr:row>7</xdr:row>
          <xdr:rowOff>171450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7</xdr:row>
          <xdr:rowOff>171450</xdr:rowOff>
        </xdr:from>
        <xdr:to>
          <xdr:col>7</xdr:col>
          <xdr:colOff>942975</xdr:colOff>
          <xdr:row>8</xdr:row>
          <xdr:rowOff>180975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8</xdr:row>
          <xdr:rowOff>171450</xdr:rowOff>
        </xdr:from>
        <xdr:to>
          <xdr:col>7</xdr:col>
          <xdr:colOff>942975</xdr:colOff>
          <xdr:row>9</xdr:row>
          <xdr:rowOff>180975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9</xdr:row>
          <xdr:rowOff>142875</xdr:rowOff>
        </xdr:from>
        <xdr:to>
          <xdr:col>7</xdr:col>
          <xdr:colOff>942975</xdr:colOff>
          <xdr:row>10</xdr:row>
          <xdr:rowOff>161925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10</xdr:row>
          <xdr:rowOff>142875</xdr:rowOff>
        </xdr:from>
        <xdr:to>
          <xdr:col>7</xdr:col>
          <xdr:colOff>962025</xdr:colOff>
          <xdr:row>11</xdr:row>
          <xdr:rowOff>180975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11</xdr:row>
          <xdr:rowOff>152400</xdr:rowOff>
        </xdr:from>
        <xdr:to>
          <xdr:col>7</xdr:col>
          <xdr:colOff>971550</xdr:colOff>
          <xdr:row>12</xdr:row>
          <xdr:rowOff>171450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12</xdr:row>
          <xdr:rowOff>171450</xdr:rowOff>
        </xdr:from>
        <xdr:to>
          <xdr:col>7</xdr:col>
          <xdr:colOff>933450</xdr:colOff>
          <xdr:row>14</xdr:row>
          <xdr:rowOff>0</xdr:rowOff>
        </xdr:to>
        <xdr:sp macro="" textlink="">
          <xdr:nvSpPr>
            <xdr:cNvPr id="30727" name="Check Box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13</xdr:row>
          <xdr:rowOff>161925</xdr:rowOff>
        </xdr:from>
        <xdr:to>
          <xdr:col>7</xdr:col>
          <xdr:colOff>942975</xdr:colOff>
          <xdr:row>14</xdr:row>
          <xdr:rowOff>171450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14</xdr:row>
          <xdr:rowOff>152400</xdr:rowOff>
        </xdr:from>
        <xdr:to>
          <xdr:col>8</xdr:col>
          <xdr:colOff>523875</xdr:colOff>
          <xdr:row>15</xdr:row>
          <xdr:rowOff>171450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15</xdr:row>
          <xdr:rowOff>180975</xdr:rowOff>
        </xdr:from>
        <xdr:to>
          <xdr:col>7</xdr:col>
          <xdr:colOff>962025</xdr:colOff>
          <xdr:row>17</xdr:row>
          <xdr:rowOff>9525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16</xdr:row>
          <xdr:rowOff>171450</xdr:rowOff>
        </xdr:from>
        <xdr:to>
          <xdr:col>7</xdr:col>
          <xdr:colOff>990600</xdr:colOff>
          <xdr:row>17</xdr:row>
          <xdr:rowOff>171450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17</xdr:row>
          <xdr:rowOff>161925</xdr:rowOff>
        </xdr:from>
        <xdr:to>
          <xdr:col>7</xdr:col>
          <xdr:colOff>962025</xdr:colOff>
          <xdr:row>18</xdr:row>
          <xdr:rowOff>171450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18</xdr:row>
          <xdr:rowOff>171450</xdr:rowOff>
        </xdr:from>
        <xdr:to>
          <xdr:col>7</xdr:col>
          <xdr:colOff>933450</xdr:colOff>
          <xdr:row>19</xdr:row>
          <xdr:rowOff>180975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20</xdr:row>
          <xdr:rowOff>0</xdr:rowOff>
        </xdr:from>
        <xdr:to>
          <xdr:col>7</xdr:col>
          <xdr:colOff>904875</xdr:colOff>
          <xdr:row>21</xdr:row>
          <xdr:rowOff>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20</xdr:row>
          <xdr:rowOff>152400</xdr:rowOff>
        </xdr:from>
        <xdr:to>
          <xdr:col>7</xdr:col>
          <xdr:colOff>933450</xdr:colOff>
          <xdr:row>21</xdr:row>
          <xdr:rowOff>171450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21</xdr:row>
          <xdr:rowOff>152400</xdr:rowOff>
        </xdr:from>
        <xdr:to>
          <xdr:col>7</xdr:col>
          <xdr:colOff>962025</xdr:colOff>
          <xdr:row>23</xdr:row>
          <xdr:rowOff>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22</xdr:row>
          <xdr:rowOff>152400</xdr:rowOff>
        </xdr:from>
        <xdr:to>
          <xdr:col>7</xdr:col>
          <xdr:colOff>962025</xdr:colOff>
          <xdr:row>23</xdr:row>
          <xdr:rowOff>180975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23</xdr:row>
          <xdr:rowOff>171450</xdr:rowOff>
        </xdr:from>
        <xdr:to>
          <xdr:col>7</xdr:col>
          <xdr:colOff>962025</xdr:colOff>
          <xdr:row>25</xdr:row>
          <xdr:rowOff>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24</xdr:row>
          <xdr:rowOff>161925</xdr:rowOff>
        </xdr:from>
        <xdr:to>
          <xdr:col>7</xdr:col>
          <xdr:colOff>942975</xdr:colOff>
          <xdr:row>25</xdr:row>
          <xdr:rowOff>171450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25</xdr:row>
          <xdr:rowOff>171450</xdr:rowOff>
        </xdr:from>
        <xdr:to>
          <xdr:col>7</xdr:col>
          <xdr:colOff>923925</xdr:colOff>
          <xdr:row>26</xdr:row>
          <xdr:rowOff>180975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5</xdr:row>
          <xdr:rowOff>171450</xdr:rowOff>
        </xdr:from>
        <xdr:to>
          <xdr:col>7</xdr:col>
          <xdr:colOff>1057275</xdr:colOff>
          <xdr:row>6</xdr:row>
          <xdr:rowOff>180975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4</xdr:row>
          <xdr:rowOff>152400</xdr:rowOff>
        </xdr:from>
        <xdr:to>
          <xdr:col>7</xdr:col>
          <xdr:colOff>1028700</xdr:colOff>
          <xdr:row>5</xdr:row>
          <xdr:rowOff>180975</xdr:rowOff>
        </xdr:to>
        <xdr:sp macro="" textlink="">
          <xdr:nvSpPr>
            <xdr:cNvPr id="30742" name="Check Box 22" hidden="1">
              <a:extLst>
                <a:ext uri="{63B3BB69-23CF-44E3-9099-C40C66FF867C}">
                  <a14:compatExt spid="_x0000_s3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5</xdr:row>
          <xdr:rowOff>161925</xdr:rowOff>
        </xdr:from>
        <xdr:to>
          <xdr:col>9</xdr:col>
          <xdr:colOff>1209675</xdr:colOff>
          <xdr:row>6</xdr:row>
          <xdr:rowOff>180975</xdr:rowOff>
        </xdr:to>
        <xdr:sp macro="" textlink="">
          <xdr:nvSpPr>
            <xdr:cNvPr id="30743" name="Check Box 23" hidden="1">
              <a:extLst>
                <a:ext uri="{63B3BB69-23CF-44E3-9099-C40C66FF867C}">
                  <a14:compatExt spid="_x0000_s3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6</xdr:row>
          <xdr:rowOff>171450</xdr:rowOff>
        </xdr:from>
        <xdr:to>
          <xdr:col>9</xdr:col>
          <xdr:colOff>1209675</xdr:colOff>
          <xdr:row>8</xdr:row>
          <xdr:rowOff>0</xdr:rowOff>
        </xdr:to>
        <xdr:sp macro="" textlink="">
          <xdr:nvSpPr>
            <xdr:cNvPr id="30744" name="Check Box 24" hidden="1">
              <a:extLst>
                <a:ext uri="{63B3BB69-23CF-44E3-9099-C40C66FF867C}">
                  <a14:compatExt spid="_x0000_s30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7</xdr:row>
          <xdr:rowOff>161925</xdr:rowOff>
        </xdr:from>
        <xdr:to>
          <xdr:col>9</xdr:col>
          <xdr:colOff>1209675</xdr:colOff>
          <xdr:row>8</xdr:row>
          <xdr:rowOff>180975</xdr:rowOff>
        </xdr:to>
        <xdr:sp macro="" textlink="">
          <xdr:nvSpPr>
            <xdr:cNvPr id="30745" name="Check Box 25" hidden="1">
              <a:extLst>
                <a:ext uri="{63B3BB69-23CF-44E3-9099-C40C66FF867C}">
                  <a14:compatExt spid="_x0000_s30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8</xdr:row>
          <xdr:rowOff>180975</xdr:rowOff>
        </xdr:from>
        <xdr:to>
          <xdr:col>9</xdr:col>
          <xdr:colOff>1209675</xdr:colOff>
          <xdr:row>10</xdr:row>
          <xdr:rowOff>9525</xdr:rowOff>
        </xdr:to>
        <xdr:sp macro="" textlink="">
          <xdr:nvSpPr>
            <xdr:cNvPr id="30746" name="Check Box 26" hidden="1">
              <a:extLst>
                <a:ext uri="{63B3BB69-23CF-44E3-9099-C40C66FF867C}">
                  <a14:compatExt spid="_x0000_s30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10</xdr:row>
          <xdr:rowOff>171450</xdr:rowOff>
        </xdr:from>
        <xdr:to>
          <xdr:col>9</xdr:col>
          <xdr:colOff>1209675</xdr:colOff>
          <xdr:row>11</xdr:row>
          <xdr:rowOff>180975</xdr:rowOff>
        </xdr:to>
        <xdr:sp macro="" textlink="">
          <xdr:nvSpPr>
            <xdr:cNvPr id="30747" name="Check Box 27" hidden="1">
              <a:extLst>
                <a:ext uri="{63B3BB69-23CF-44E3-9099-C40C66FF867C}">
                  <a14:compatExt spid="_x0000_s30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11</xdr:row>
          <xdr:rowOff>171450</xdr:rowOff>
        </xdr:from>
        <xdr:to>
          <xdr:col>9</xdr:col>
          <xdr:colOff>1209675</xdr:colOff>
          <xdr:row>13</xdr:row>
          <xdr:rowOff>0</xdr:rowOff>
        </xdr:to>
        <xdr:sp macro="" textlink="">
          <xdr:nvSpPr>
            <xdr:cNvPr id="30748" name="Check Box 28" hidden="1">
              <a:extLst>
                <a:ext uri="{63B3BB69-23CF-44E3-9099-C40C66FF867C}">
                  <a14:compatExt spid="_x0000_s30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12</xdr:row>
          <xdr:rowOff>161925</xdr:rowOff>
        </xdr:from>
        <xdr:to>
          <xdr:col>9</xdr:col>
          <xdr:colOff>1209675</xdr:colOff>
          <xdr:row>13</xdr:row>
          <xdr:rowOff>180975</xdr:rowOff>
        </xdr:to>
        <xdr:sp macro="" textlink="">
          <xdr:nvSpPr>
            <xdr:cNvPr id="30749" name="Check Box 29" hidden="1">
              <a:extLst>
                <a:ext uri="{63B3BB69-23CF-44E3-9099-C40C66FF867C}">
                  <a14:compatExt spid="_x0000_s30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13</xdr:row>
          <xdr:rowOff>171450</xdr:rowOff>
        </xdr:from>
        <xdr:to>
          <xdr:col>9</xdr:col>
          <xdr:colOff>1209675</xdr:colOff>
          <xdr:row>15</xdr:row>
          <xdr:rowOff>0</xdr:rowOff>
        </xdr:to>
        <xdr:sp macro="" textlink="">
          <xdr:nvSpPr>
            <xdr:cNvPr id="30750" name="Check Box 30" hidden="1">
              <a:extLst>
                <a:ext uri="{63B3BB69-23CF-44E3-9099-C40C66FF867C}">
                  <a14:compatExt spid="_x0000_s30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14</xdr:row>
          <xdr:rowOff>152400</xdr:rowOff>
        </xdr:from>
        <xdr:to>
          <xdr:col>9</xdr:col>
          <xdr:colOff>1209675</xdr:colOff>
          <xdr:row>15</xdr:row>
          <xdr:rowOff>171450</xdr:rowOff>
        </xdr:to>
        <xdr:sp macro="" textlink="">
          <xdr:nvSpPr>
            <xdr:cNvPr id="30751" name="Check Box 31" hidden="1">
              <a:extLst>
                <a:ext uri="{63B3BB69-23CF-44E3-9099-C40C66FF867C}">
                  <a14:compatExt spid="_x0000_s30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15</xdr:row>
          <xdr:rowOff>152400</xdr:rowOff>
        </xdr:from>
        <xdr:to>
          <xdr:col>9</xdr:col>
          <xdr:colOff>1209675</xdr:colOff>
          <xdr:row>16</xdr:row>
          <xdr:rowOff>171450</xdr:rowOff>
        </xdr:to>
        <xdr:sp macro="" textlink="">
          <xdr:nvSpPr>
            <xdr:cNvPr id="30752" name="Check Box 32" hidden="1">
              <a:extLst>
                <a:ext uri="{63B3BB69-23CF-44E3-9099-C40C66FF867C}">
                  <a14:compatExt spid="_x0000_s30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16</xdr:row>
          <xdr:rowOff>180975</xdr:rowOff>
        </xdr:from>
        <xdr:to>
          <xdr:col>9</xdr:col>
          <xdr:colOff>1209675</xdr:colOff>
          <xdr:row>18</xdr:row>
          <xdr:rowOff>9525</xdr:rowOff>
        </xdr:to>
        <xdr:sp macro="" textlink="">
          <xdr:nvSpPr>
            <xdr:cNvPr id="30753" name="Check Box 33" hidden="1">
              <a:extLst>
                <a:ext uri="{63B3BB69-23CF-44E3-9099-C40C66FF867C}">
                  <a14:compatExt spid="_x0000_s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17</xdr:row>
          <xdr:rowOff>171450</xdr:rowOff>
        </xdr:from>
        <xdr:to>
          <xdr:col>9</xdr:col>
          <xdr:colOff>1209675</xdr:colOff>
          <xdr:row>19</xdr:row>
          <xdr:rowOff>0</xdr:rowOff>
        </xdr:to>
        <xdr:sp macro="" textlink="">
          <xdr:nvSpPr>
            <xdr:cNvPr id="30754" name="Check Box 34" hidden="1">
              <a:extLst>
                <a:ext uri="{63B3BB69-23CF-44E3-9099-C40C66FF867C}">
                  <a14:compatExt spid="_x0000_s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18</xdr:row>
          <xdr:rowOff>161925</xdr:rowOff>
        </xdr:from>
        <xdr:to>
          <xdr:col>9</xdr:col>
          <xdr:colOff>1209675</xdr:colOff>
          <xdr:row>19</xdr:row>
          <xdr:rowOff>180975</xdr:rowOff>
        </xdr:to>
        <xdr:sp macro="" textlink="">
          <xdr:nvSpPr>
            <xdr:cNvPr id="30755" name="Check Box 35" hidden="1">
              <a:extLst>
                <a:ext uri="{63B3BB69-23CF-44E3-9099-C40C66FF867C}">
                  <a14:compatExt spid="_x0000_s30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19</xdr:row>
          <xdr:rowOff>152400</xdr:rowOff>
        </xdr:from>
        <xdr:to>
          <xdr:col>9</xdr:col>
          <xdr:colOff>1209675</xdr:colOff>
          <xdr:row>20</xdr:row>
          <xdr:rowOff>171450</xdr:rowOff>
        </xdr:to>
        <xdr:sp macro="" textlink="">
          <xdr:nvSpPr>
            <xdr:cNvPr id="30756" name="Check Box 36" hidden="1">
              <a:extLst>
                <a:ext uri="{63B3BB69-23CF-44E3-9099-C40C66FF867C}">
                  <a14:compatExt spid="_x0000_s30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20</xdr:row>
          <xdr:rowOff>161925</xdr:rowOff>
        </xdr:from>
        <xdr:to>
          <xdr:col>9</xdr:col>
          <xdr:colOff>1209675</xdr:colOff>
          <xdr:row>21</xdr:row>
          <xdr:rowOff>180975</xdr:rowOff>
        </xdr:to>
        <xdr:sp macro="" textlink="">
          <xdr:nvSpPr>
            <xdr:cNvPr id="30757" name="Check Box 37" hidden="1">
              <a:extLst>
                <a:ext uri="{63B3BB69-23CF-44E3-9099-C40C66FF867C}">
                  <a14:compatExt spid="_x0000_s30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21</xdr:row>
          <xdr:rowOff>152400</xdr:rowOff>
        </xdr:from>
        <xdr:to>
          <xdr:col>9</xdr:col>
          <xdr:colOff>1209675</xdr:colOff>
          <xdr:row>22</xdr:row>
          <xdr:rowOff>171450</xdr:rowOff>
        </xdr:to>
        <xdr:sp macro="" textlink="">
          <xdr:nvSpPr>
            <xdr:cNvPr id="30758" name="Check Box 38" hidden="1">
              <a:extLst>
                <a:ext uri="{63B3BB69-23CF-44E3-9099-C40C66FF867C}">
                  <a14:compatExt spid="_x0000_s30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22</xdr:row>
          <xdr:rowOff>152400</xdr:rowOff>
        </xdr:from>
        <xdr:to>
          <xdr:col>9</xdr:col>
          <xdr:colOff>1209675</xdr:colOff>
          <xdr:row>23</xdr:row>
          <xdr:rowOff>171450</xdr:rowOff>
        </xdr:to>
        <xdr:sp macro="" textlink="">
          <xdr:nvSpPr>
            <xdr:cNvPr id="30759" name="Check Box 39" hidden="1">
              <a:extLst>
                <a:ext uri="{63B3BB69-23CF-44E3-9099-C40C66FF867C}">
                  <a14:compatExt spid="_x0000_s30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23</xdr:row>
          <xdr:rowOff>152400</xdr:rowOff>
        </xdr:from>
        <xdr:to>
          <xdr:col>9</xdr:col>
          <xdr:colOff>1209675</xdr:colOff>
          <xdr:row>24</xdr:row>
          <xdr:rowOff>171450</xdr:rowOff>
        </xdr:to>
        <xdr:sp macro="" textlink="">
          <xdr:nvSpPr>
            <xdr:cNvPr id="30760" name="Check Box 40" hidden="1">
              <a:extLst>
                <a:ext uri="{63B3BB69-23CF-44E3-9099-C40C66FF867C}">
                  <a14:compatExt spid="_x0000_s30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24</xdr:row>
          <xdr:rowOff>180975</xdr:rowOff>
        </xdr:from>
        <xdr:to>
          <xdr:col>9</xdr:col>
          <xdr:colOff>1209675</xdr:colOff>
          <xdr:row>26</xdr:row>
          <xdr:rowOff>9525</xdr:rowOff>
        </xdr:to>
        <xdr:sp macro="" textlink="">
          <xdr:nvSpPr>
            <xdr:cNvPr id="30761" name="Check Box 41" hidden="1">
              <a:extLst>
                <a:ext uri="{63B3BB69-23CF-44E3-9099-C40C66FF867C}">
                  <a14:compatExt spid="_x0000_s30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26</xdr:row>
          <xdr:rowOff>0</xdr:rowOff>
        </xdr:from>
        <xdr:to>
          <xdr:col>9</xdr:col>
          <xdr:colOff>1209675</xdr:colOff>
          <xdr:row>27</xdr:row>
          <xdr:rowOff>19050</xdr:rowOff>
        </xdr:to>
        <xdr:sp macro="" textlink="">
          <xdr:nvSpPr>
            <xdr:cNvPr id="30762" name="Check Box 42" hidden="1">
              <a:extLst>
                <a:ext uri="{63B3BB69-23CF-44E3-9099-C40C66FF867C}">
                  <a14:compatExt spid="_x0000_s30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4</xdr:row>
          <xdr:rowOff>161925</xdr:rowOff>
        </xdr:from>
        <xdr:to>
          <xdr:col>9</xdr:col>
          <xdr:colOff>1257300</xdr:colOff>
          <xdr:row>5</xdr:row>
          <xdr:rowOff>180975</xdr:rowOff>
        </xdr:to>
        <xdr:sp macro="" textlink="">
          <xdr:nvSpPr>
            <xdr:cNvPr id="30763" name="Check Box 43" hidden="1">
              <a:extLst>
                <a:ext uri="{63B3BB69-23CF-44E3-9099-C40C66FF867C}">
                  <a14:compatExt spid="_x0000_s30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3</xdr:row>
          <xdr:rowOff>152400</xdr:rowOff>
        </xdr:from>
        <xdr:to>
          <xdr:col>9</xdr:col>
          <xdr:colOff>1381125</xdr:colOff>
          <xdr:row>5</xdr:row>
          <xdr:rowOff>0</xdr:rowOff>
        </xdr:to>
        <xdr:sp macro="" textlink="">
          <xdr:nvSpPr>
            <xdr:cNvPr id="30764" name="Check Box 44" hidden="1">
              <a:extLst>
                <a:ext uri="{63B3BB69-23CF-44E3-9099-C40C66FF867C}">
                  <a14:compatExt spid="_x0000_s30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4</xdr:row>
          <xdr:rowOff>28575</xdr:rowOff>
        </xdr:from>
        <xdr:to>
          <xdr:col>10</xdr:col>
          <xdr:colOff>1152525</xdr:colOff>
          <xdr:row>5</xdr:row>
          <xdr:rowOff>28575</xdr:rowOff>
        </xdr:to>
        <xdr:sp macro="" textlink="">
          <xdr:nvSpPr>
            <xdr:cNvPr id="30765" name="Check Box 45" hidden="1">
              <a:extLst>
                <a:ext uri="{63B3BB69-23CF-44E3-9099-C40C66FF867C}">
                  <a14:compatExt spid="_x0000_s30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3</xdr:row>
          <xdr:rowOff>152400</xdr:rowOff>
        </xdr:from>
        <xdr:to>
          <xdr:col>7</xdr:col>
          <xdr:colOff>1028700</xdr:colOff>
          <xdr:row>4</xdr:row>
          <xdr:rowOff>180975</xdr:rowOff>
        </xdr:to>
        <xdr:sp macro="" textlink="">
          <xdr:nvSpPr>
            <xdr:cNvPr id="30766" name="Check Box 46" hidden="1">
              <a:extLst>
                <a:ext uri="{63B3BB69-23CF-44E3-9099-C40C66FF867C}">
                  <a14:compatExt spid="_x0000_s30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9</xdr:row>
          <xdr:rowOff>161925</xdr:rowOff>
        </xdr:from>
        <xdr:to>
          <xdr:col>9</xdr:col>
          <xdr:colOff>1209675</xdr:colOff>
          <xdr:row>10</xdr:row>
          <xdr:rowOff>180975</xdr:rowOff>
        </xdr:to>
        <xdr:sp macro="" textlink="">
          <xdr:nvSpPr>
            <xdr:cNvPr id="30767" name="Check Box 47" hidden="1">
              <a:extLst>
                <a:ext uri="{63B3BB69-23CF-44E3-9099-C40C66FF867C}">
                  <a14:compatExt spid="_x0000_s30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27</xdr:row>
          <xdr:rowOff>19050</xdr:rowOff>
        </xdr:from>
        <xdr:to>
          <xdr:col>7</xdr:col>
          <xdr:colOff>895350</xdr:colOff>
          <xdr:row>28</xdr:row>
          <xdr:rowOff>19050</xdr:rowOff>
        </xdr:to>
        <xdr:sp macro="" textlink="">
          <xdr:nvSpPr>
            <xdr:cNvPr id="30768" name="Check Box 48" hidden="1">
              <a:extLst>
                <a:ext uri="{63B3BB69-23CF-44E3-9099-C40C66FF867C}">
                  <a14:compatExt spid="_x0000_s30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28</xdr:row>
          <xdr:rowOff>0</xdr:rowOff>
        </xdr:from>
        <xdr:to>
          <xdr:col>7</xdr:col>
          <xdr:colOff>914400</xdr:colOff>
          <xdr:row>29</xdr:row>
          <xdr:rowOff>19050</xdr:rowOff>
        </xdr:to>
        <xdr:sp macro="" textlink="">
          <xdr:nvSpPr>
            <xdr:cNvPr id="30769" name="Check Box 49" hidden="1">
              <a:extLst>
                <a:ext uri="{63B3BB69-23CF-44E3-9099-C40C66FF867C}">
                  <a14:compatExt spid="_x0000_s3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28</xdr:row>
          <xdr:rowOff>171450</xdr:rowOff>
        </xdr:from>
        <xdr:to>
          <xdr:col>7</xdr:col>
          <xdr:colOff>952500</xdr:colOff>
          <xdr:row>30</xdr:row>
          <xdr:rowOff>19050</xdr:rowOff>
        </xdr:to>
        <xdr:sp macro="" textlink="">
          <xdr:nvSpPr>
            <xdr:cNvPr id="30770" name="Check Box 50" hidden="1">
              <a:extLst>
                <a:ext uri="{63B3BB69-23CF-44E3-9099-C40C66FF867C}">
                  <a14:compatExt spid="_x0000_s3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29</xdr:row>
          <xdr:rowOff>171450</xdr:rowOff>
        </xdr:from>
        <xdr:to>
          <xdr:col>7</xdr:col>
          <xdr:colOff>952500</xdr:colOff>
          <xdr:row>31</xdr:row>
          <xdr:rowOff>9525</xdr:rowOff>
        </xdr:to>
        <xdr:sp macro="" textlink="">
          <xdr:nvSpPr>
            <xdr:cNvPr id="30771" name="Check Box 51" hidden="1">
              <a:extLst>
                <a:ext uri="{63B3BB69-23CF-44E3-9099-C40C66FF867C}">
                  <a14:compatExt spid="_x0000_s30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31</xdr:row>
          <xdr:rowOff>0</xdr:rowOff>
        </xdr:from>
        <xdr:to>
          <xdr:col>7</xdr:col>
          <xdr:colOff>952500</xdr:colOff>
          <xdr:row>32</xdr:row>
          <xdr:rowOff>19050</xdr:rowOff>
        </xdr:to>
        <xdr:sp macro="" textlink="">
          <xdr:nvSpPr>
            <xdr:cNvPr id="30772" name="Check Box 52" hidden="1">
              <a:extLst>
                <a:ext uri="{63B3BB69-23CF-44E3-9099-C40C66FF867C}">
                  <a14:compatExt spid="_x0000_s30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31</xdr:row>
          <xdr:rowOff>180975</xdr:rowOff>
        </xdr:from>
        <xdr:to>
          <xdr:col>7</xdr:col>
          <xdr:colOff>933450</xdr:colOff>
          <xdr:row>33</xdr:row>
          <xdr:rowOff>0</xdr:rowOff>
        </xdr:to>
        <xdr:sp macro="" textlink="">
          <xdr:nvSpPr>
            <xdr:cNvPr id="30773" name="Check Box 53" hidden="1">
              <a:extLst>
                <a:ext uri="{63B3BB69-23CF-44E3-9099-C40C66FF867C}">
                  <a14:compatExt spid="_x0000_s30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32</xdr:row>
          <xdr:rowOff>171450</xdr:rowOff>
        </xdr:from>
        <xdr:to>
          <xdr:col>7</xdr:col>
          <xdr:colOff>914400</xdr:colOff>
          <xdr:row>33</xdr:row>
          <xdr:rowOff>180975</xdr:rowOff>
        </xdr:to>
        <xdr:sp macro="" textlink="">
          <xdr:nvSpPr>
            <xdr:cNvPr id="30774" name="Check Box 54" hidden="1">
              <a:extLst>
                <a:ext uri="{63B3BB69-23CF-44E3-9099-C40C66FF867C}">
                  <a14:compatExt spid="_x0000_s30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26</xdr:row>
          <xdr:rowOff>171450</xdr:rowOff>
        </xdr:from>
        <xdr:to>
          <xdr:col>9</xdr:col>
          <xdr:colOff>1200150</xdr:colOff>
          <xdr:row>28</xdr:row>
          <xdr:rowOff>0</xdr:rowOff>
        </xdr:to>
        <xdr:sp macro="" textlink="">
          <xdr:nvSpPr>
            <xdr:cNvPr id="30775" name="Check Box 55" hidden="1">
              <a:extLst>
                <a:ext uri="{63B3BB69-23CF-44E3-9099-C40C66FF867C}">
                  <a14:compatExt spid="_x0000_s30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27</xdr:row>
          <xdr:rowOff>180975</xdr:rowOff>
        </xdr:from>
        <xdr:to>
          <xdr:col>9</xdr:col>
          <xdr:colOff>1200150</xdr:colOff>
          <xdr:row>29</xdr:row>
          <xdr:rowOff>9525</xdr:rowOff>
        </xdr:to>
        <xdr:sp macro="" textlink="">
          <xdr:nvSpPr>
            <xdr:cNvPr id="30776" name="Check Box 56" hidden="1">
              <a:extLst>
                <a:ext uri="{63B3BB69-23CF-44E3-9099-C40C66FF867C}">
                  <a14:compatExt spid="_x0000_s30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28</xdr:row>
          <xdr:rowOff>171450</xdr:rowOff>
        </xdr:from>
        <xdr:to>
          <xdr:col>9</xdr:col>
          <xdr:colOff>1200150</xdr:colOff>
          <xdr:row>30</xdr:row>
          <xdr:rowOff>0</xdr:rowOff>
        </xdr:to>
        <xdr:sp macro="" textlink="">
          <xdr:nvSpPr>
            <xdr:cNvPr id="30777" name="Check Box 57" hidden="1">
              <a:extLst>
                <a:ext uri="{63B3BB69-23CF-44E3-9099-C40C66FF867C}">
                  <a14:compatExt spid="_x0000_s30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29</xdr:row>
          <xdr:rowOff>171450</xdr:rowOff>
        </xdr:from>
        <xdr:to>
          <xdr:col>9</xdr:col>
          <xdr:colOff>1200150</xdr:colOff>
          <xdr:row>31</xdr:row>
          <xdr:rowOff>0</xdr:rowOff>
        </xdr:to>
        <xdr:sp macro="" textlink="">
          <xdr:nvSpPr>
            <xdr:cNvPr id="30778" name="Check Box 58" hidden="1">
              <a:extLst>
                <a:ext uri="{63B3BB69-23CF-44E3-9099-C40C66FF867C}">
                  <a14:compatExt spid="_x0000_s30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30</xdr:row>
          <xdr:rowOff>171450</xdr:rowOff>
        </xdr:from>
        <xdr:to>
          <xdr:col>9</xdr:col>
          <xdr:colOff>1200150</xdr:colOff>
          <xdr:row>32</xdr:row>
          <xdr:rowOff>0</xdr:rowOff>
        </xdr:to>
        <xdr:sp macro="" textlink="">
          <xdr:nvSpPr>
            <xdr:cNvPr id="30779" name="Check Box 59" hidden="1">
              <a:extLst>
                <a:ext uri="{63B3BB69-23CF-44E3-9099-C40C66FF867C}">
                  <a14:compatExt spid="_x0000_s30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32</xdr:row>
          <xdr:rowOff>9525</xdr:rowOff>
        </xdr:from>
        <xdr:to>
          <xdr:col>9</xdr:col>
          <xdr:colOff>1200150</xdr:colOff>
          <xdr:row>33</xdr:row>
          <xdr:rowOff>28575</xdr:rowOff>
        </xdr:to>
        <xdr:sp macro="" textlink="">
          <xdr:nvSpPr>
            <xdr:cNvPr id="30780" name="Check Box 60" hidden="1">
              <a:extLst>
                <a:ext uri="{63B3BB69-23CF-44E3-9099-C40C66FF867C}">
                  <a14:compatExt spid="_x0000_s30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33</xdr:row>
          <xdr:rowOff>0</xdr:rowOff>
        </xdr:from>
        <xdr:to>
          <xdr:col>9</xdr:col>
          <xdr:colOff>1200150</xdr:colOff>
          <xdr:row>34</xdr:row>
          <xdr:rowOff>19050</xdr:rowOff>
        </xdr:to>
        <xdr:sp macro="" textlink="">
          <xdr:nvSpPr>
            <xdr:cNvPr id="30781" name="Check Box 61" hidden="1">
              <a:extLst>
                <a:ext uri="{63B3BB69-23CF-44E3-9099-C40C66FF867C}">
                  <a14:compatExt spid="_x0000_s30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33</xdr:row>
          <xdr:rowOff>180975</xdr:rowOff>
        </xdr:from>
        <xdr:to>
          <xdr:col>7</xdr:col>
          <xdr:colOff>914400</xdr:colOff>
          <xdr:row>35</xdr:row>
          <xdr:rowOff>0</xdr:rowOff>
        </xdr:to>
        <xdr:sp macro="" textlink="">
          <xdr:nvSpPr>
            <xdr:cNvPr id="30782" name="Check Box 62" hidden="1">
              <a:extLst>
                <a:ext uri="{63B3BB69-23CF-44E3-9099-C40C66FF867C}">
                  <a14:compatExt spid="_x0000_s30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33</xdr:row>
          <xdr:rowOff>171450</xdr:rowOff>
        </xdr:from>
        <xdr:to>
          <xdr:col>9</xdr:col>
          <xdr:colOff>1200150</xdr:colOff>
          <xdr:row>35</xdr:row>
          <xdr:rowOff>0</xdr:rowOff>
        </xdr:to>
        <xdr:sp macro="" textlink="">
          <xdr:nvSpPr>
            <xdr:cNvPr id="30783" name="Check Box 63" hidden="1">
              <a:extLst>
                <a:ext uri="{63B3BB69-23CF-44E3-9099-C40C66FF867C}">
                  <a14:compatExt spid="_x0000_s30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5</xdr:row>
          <xdr:rowOff>9525</xdr:rowOff>
        </xdr:from>
        <xdr:to>
          <xdr:col>10</xdr:col>
          <xdr:colOff>1228725</xdr:colOff>
          <xdr:row>6</xdr:row>
          <xdr:rowOff>28575</xdr:rowOff>
        </xdr:to>
        <xdr:sp macro="" textlink="">
          <xdr:nvSpPr>
            <xdr:cNvPr id="30784" name="Check Box 64" hidden="1">
              <a:extLst>
                <a:ext uri="{63B3BB69-23CF-44E3-9099-C40C66FF867C}">
                  <a14:compatExt spid="_x0000_s30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6</xdr:row>
          <xdr:rowOff>28575</xdr:rowOff>
        </xdr:from>
        <xdr:to>
          <xdr:col>10</xdr:col>
          <xdr:colOff>1143000</xdr:colOff>
          <xdr:row>7</xdr:row>
          <xdr:rowOff>28575</xdr:rowOff>
        </xdr:to>
        <xdr:sp macro="" textlink="">
          <xdr:nvSpPr>
            <xdr:cNvPr id="30785" name="Check Box 65" hidden="1">
              <a:extLst>
                <a:ext uri="{63B3BB69-23CF-44E3-9099-C40C66FF867C}">
                  <a14:compatExt spid="_x0000_s30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7</xdr:row>
          <xdr:rowOff>0</xdr:rowOff>
        </xdr:from>
        <xdr:to>
          <xdr:col>10</xdr:col>
          <xdr:colOff>1143000</xdr:colOff>
          <xdr:row>8</xdr:row>
          <xdr:rowOff>28575</xdr:rowOff>
        </xdr:to>
        <xdr:sp macro="" textlink="">
          <xdr:nvSpPr>
            <xdr:cNvPr id="30786" name="Check Box 66" hidden="1">
              <a:extLst>
                <a:ext uri="{63B3BB69-23CF-44E3-9099-C40C66FF867C}">
                  <a14:compatExt spid="_x0000_s30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8</xdr:row>
          <xdr:rowOff>19050</xdr:rowOff>
        </xdr:from>
        <xdr:to>
          <xdr:col>10</xdr:col>
          <xdr:colOff>1181100</xdr:colOff>
          <xdr:row>9</xdr:row>
          <xdr:rowOff>28575</xdr:rowOff>
        </xdr:to>
        <xdr:sp macro="" textlink="">
          <xdr:nvSpPr>
            <xdr:cNvPr id="30787" name="Check Box 67" hidden="1">
              <a:extLst>
                <a:ext uri="{63B3BB69-23CF-44E3-9099-C40C66FF867C}">
                  <a14:compatExt spid="_x0000_s30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9</xdr:row>
          <xdr:rowOff>0</xdr:rowOff>
        </xdr:from>
        <xdr:to>
          <xdr:col>10</xdr:col>
          <xdr:colOff>1133475</xdr:colOff>
          <xdr:row>10</xdr:row>
          <xdr:rowOff>28575</xdr:rowOff>
        </xdr:to>
        <xdr:sp macro="" textlink="">
          <xdr:nvSpPr>
            <xdr:cNvPr id="30788" name="Check Box 68" hidden="1">
              <a:extLst>
                <a:ext uri="{63B3BB69-23CF-44E3-9099-C40C66FF867C}">
                  <a14:compatExt spid="_x0000_s30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10</xdr:row>
          <xdr:rowOff>0</xdr:rowOff>
        </xdr:from>
        <xdr:to>
          <xdr:col>10</xdr:col>
          <xdr:colOff>1209675</xdr:colOff>
          <xdr:row>11</xdr:row>
          <xdr:rowOff>19050</xdr:rowOff>
        </xdr:to>
        <xdr:sp macro="" textlink="">
          <xdr:nvSpPr>
            <xdr:cNvPr id="30789" name="Check Box 69" hidden="1">
              <a:extLst>
                <a:ext uri="{63B3BB69-23CF-44E3-9099-C40C66FF867C}">
                  <a14:compatExt spid="_x0000_s30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11</xdr:row>
          <xdr:rowOff>9525</xdr:rowOff>
        </xdr:from>
        <xdr:to>
          <xdr:col>10</xdr:col>
          <xdr:colOff>1133475</xdr:colOff>
          <xdr:row>12</xdr:row>
          <xdr:rowOff>28575</xdr:rowOff>
        </xdr:to>
        <xdr:sp macro="" textlink="">
          <xdr:nvSpPr>
            <xdr:cNvPr id="30790" name="Check Box 70" hidden="1">
              <a:extLst>
                <a:ext uri="{63B3BB69-23CF-44E3-9099-C40C66FF867C}">
                  <a14:compatExt spid="_x0000_s30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12</xdr:row>
          <xdr:rowOff>19050</xdr:rowOff>
        </xdr:from>
        <xdr:to>
          <xdr:col>10</xdr:col>
          <xdr:colOff>1162050</xdr:colOff>
          <xdr:row>13</xdr:row>
          <xdr:rowOff>28575</xdr:rowOff>
        </xdr:to>
        <xdr:sp macro="" textlink="">
          <xdr:nvSpPr>
            <xdr:cNvPr id="30791" name="Check Box 71" hidden="1">
              <a:extLst>
                <a:ext uri="{63B3BB69-23CF-44E3-9099-C40C66FF867C}">
                  <a14:compatExt spid="_x0000_s30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13</xdr:row>
          <xdr:rowOff>9525</xdr:rowOff>
        </xdr:from>
        <xdr:to>
          <xdr:col>10</xdr:col>
          <xdr:colOff>1171575</xdr:colOff>
          <xdr:row>14</xdr:row>
          <xdr:rowOff>28575</xdr:rowOff>
        </xdr:to>
        <xdr:sp macro="" textlink="">
          <xdr:nvSpPr>
            <xdr:cNvPr id="30792" name="Check Box 72" hidden="1">
              <a:extLst>
                <a:ext uri="{63B3BB69-23CF-44E3-9099-C40C66FF867C}">
                  <a14:compatExt spid="_x0000_s30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14</xdr:row>
          <xdr:rowOff>19050</xdr:rowOff>
        </xdr:from>
        <xdr:to>
          <xdr:col>10</xdr:col>
          <xdr:colOff>1171575</xdr:colOff>
          <xdr:row>15</xdr:row>
          <xdr:rowOff>28575</xdr:rowOff>
        </xdr:to>
        <xdr:sp macro="" textlink="">
          <xdr:nvSpPr>
            <xdr:cNvPr id="30793" name="Check Box 73" hidden="1">
              <a:extLst>
                <a:ext uri="{63B3BB69-23CF-44E3-9099-C40C66FF867C}">
                  <a14:compatExt spid="_x0000_s30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15</xdr:row>
          <xdr:rowOff>28575</xdr:rowOff>
        </xdr:from>
        <xdr:to>
          <xdr:col>10</xdr:col>
          <xdr:colOff>1162050</xdr:colOff>
          <xdr:row>16</xdr:row>
          <xdr:rowOff>28575</xdr:rowOff>
        </xdr:to>
        <xdr:sp macro="" textlink="">
          <xdr:nvSpPr>
            <xdr:cNvPr id="30794" name="Check Box 74" hidden="1">
              <a:extLst>
                <a:ext uri="{63B3BB69-23CF-44E3-9099-C40C66FF867C}">
                  <a14:compatExt spid="_x0000_s30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16</xdr:row>
          <xdr:rowOff>19050</xdr:rowOff>
        </xdr:from>
        <xdr:to>
          <xdr:col>10</xdr:col>
          <xdr:colOff>1219200</xdr:colOff>
          <xdr:row>17</xdr:row>
          <xdr:rowOff>28575</xdr:rowOff>
        </xdr:to>
        <xdr:sp macro="" textlink="">
          <xdr:nvSpPr>
            <xdr:cNvPr id="30795" name="Check Box 75" hidden="1">
              <a:extLst>
                <a:ext uri="{63B3BB69-23CF-44E3-9099-C40C66FF867C}">
                  <a14:compatExt spid="_x0000_s30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17</xdr:row>
          <xdr:rowOff>19050</xdr:rowOff>
        </xdr:from>
        <xdr:to>
          <xdr:col>10</xdr:col>
          <xdr:colOff>1104900</xdr:colOff>
          <xdr:row>18</xdr:row>
          <xdr:rowOff>28575</xdr:rowOff>
        </xdr:to>
        <xdr:sp macro="" textlink="">
          <xdr:nvSpPr>
            <xdr:cNvPr id="30796" name="Check Box 76" hidden="1">
              <a:extLst>
                <a:ext uri="{63B3BB69-23CF-44E3-9099-C40C66FF867C}">
                  <a14:compatExt spid="_x0000_s30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18</xdr:row>
          <xdr:rowOff>19050</xdr:rowOff>
        </xdr:from>
        <xdr:to>
          <xdr:col>10</xdr:col>
          <xdr:colOff>1114425</xdr:colOff>
          <xdr:row>19</xdr:row>
          <xdr:rowOff>28575</xdr:rowOff>
        </xdr:to>
        <xdr:sp macro="" textlink="">
          <xdr:nvSpPr>
            <xdr:cNvPr id="30797" name="Check Box 77" hidden="1">
              <a:extLst>
                <a:ext uri="{63B3BB69-23CF-44E3-9099-C40C66FF867C}">
                  <a14:compatExt spid="_x0000_s30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19</xdr:row>
          <xdr:rowOff>19050</xdr:rowOff>
        </xdr:from>
        <xdr:to>
          <xdr:col>10</xdr:col>
          <xdr:colOff>1152525</xdr:colOff>
          <xdr:row>20</xdr:row>
          <xdr:rowOff>28575</xdr:rowOff>
        </xdr:to>
        <xdr:sp macro="" textlink="">
          <xdr:nvSpPr>
            <xdr:cNvPr id="30798" name="Check Box 78" hidden="1">
              <a:extLst>
                <a:ext uri="{63B3BB69-23CF-44E3-9099-C40C66FF867C}">
                  <a14:compatExt spid="_x0000_s30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20</xdr:row>
          <xdr:rowOff>9525</xdr:rowOff>
        </xdr:from>
        <xdr:to>
          <xdr:col>10</xdr:col>
          <xdr:colOff>1133475</xdr:colOff>
          <xdr:row>21</xdr:row>
          <xdr:rowOff>28575</xdr:rowOff>
        </xdr:to>
        <xdr:sp macro="" textlink="">
          <xdr:nvSpPr>
            <xdr:cNvPr id="30799" name="Check Box 79" hidden="1">
              <a:extLst>
                <a:ext uri="{63B3BB69-23CF-44E3-9099-C40C66FF867C}">
                  <a14:compatExt spid="_x0000_s30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21</xdr:row>
          <xdr:rowOff>0</xdr:rowOff>
        </xdr:from>
        <xdr:to>
          <xdr:col>10</xdr:col>
          <xdr:colOff>1181100</xdr:colOff>
          <xdr:row>22</xdr:row>
          <xdr:rowOff>28575</xdr:rowOff>
        </xdr:to>
        <xdr:sp macro="" textlink="">
          <xdr:nvSpPr>
            <xdr:cNvPr id="30800" name="Check Box 80" hidden="1">
              <a:extLst>
                <a:ext uri="{63B3BB69-23CF-44E3-9099-C40C66FF867C}">
                  <a14:compatExt spid="_x0000_s30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22</xdr:row>
          <xdr:rowOff>9525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30801" name="Check Box 81" hidden="1">
              <a:extLst>
                <a:ext uri="{63B3BB69-23CF-44E3-9099-C40C66FF867C}">
                  <a14:compatExt spid="_x0000_s30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23</xdr:row>
          <xdr:rowOff>19050</xdr:rowOff>
        </xdr:from>
        <xdr:to>
          <xdr:col>10</xdr:col>
          <xdr:colOff>1143000</xdr:colOff>
          <xdr:row>24</xdr:row>
          <xdr:rowOff>28575</xdr:rowOff>
        </xdr:to>
        <xdr:sp macro="" textlink="">
          <xdr:nvSpPr>
            <xdr:cNvPr id="30802" name="Check Box 82" hidden="1">
              <a:extLst>
                <a:ext uri="{63B3BB69-23CF-44E3-9099-C40C66FF867C}">
                  <a14:compatExt spid="_x0000_s30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24</xdr:row>
          <xdr:rowOff>19050</xdr:rowOff>
        </xdr:from>
        <xdr:to>
          <xdr:col>10</xdr:col>
          <xdr:colOff>1143000</xdr:colOff>
          <xdr:row>25</xdr:row>
          <xdr:rowOff>28575</xdr:rowOff>
        </xdr:to>
        <xdr:sp macro="" textlink="">
          <xdr:nvSpPr>
            <xdr:cNvPr id="30803" name="Check Box 83" hidden="1">
              <a:extLst>
                <a:ext uri="{63B3BB69-23CF-44E3-9099-C40C66FF867C}">
                  <a14:compatExt spid="_x0000_s30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25</xdr:row>
          <xdr:rowOff>9525</xdr:rowOff>
        </xdr:from>
        <xdr:to>
          <xdr:col>10</xdr:col>
          <xdr:colOff>1171575</xdr:colOff>
          <xdr:row>26</xdr:row>
          <xdr:rowOff>28575</xdr:rowOff>
        </xdr:to>
        <xdr:sp macro="" textlink="">
          <xdr:nvSpPr>
            <xdr:cNvPr id="30804" name="Check Box 84" hidden="1">
              <a:extLst>
                <a:ext uri="{63B3BB69-23CF-44E3-9099-C40C66FF867C}">
                  <a14:compatExt spid="_x0000_s30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26</xdr:row>
          <xdr:rowOff>19050</xdr:rowOff>
        </xdr:from>
        <xdr:to>
          <xdr:col>10</xdr:col>
          <xdr:colOff>1143000</xdr:colOff>
          <xdr:row>27</xdr:row>
          <xdr:rowOff>28575</xdr:rowOff>
        </xdr:to>
        <xdr:sp macro="" textlink="">
          <xdr:nvSpPr>
            <xdr:cNvPr id="30805" name="Check Box 85" hidden="1">
              <a:extLst>
                <a:ext uri="{63B3BB69-23CF-44E3-9099-C40C66FF867C}">
                  <a14:compatExt spid="_x0000_s30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27</xdr:row>
          <xdr:rowOff>0</xdr:rowOff>
        </xdr:from>
        <xdr:to>
          <xdr:col>10</xdr:col>
          <xdr:colOff>1200150</xdr:colOff>
          <xdr:row>28</xdr:row>
          <xdr:rowOff>28575</xdr:rowOff>
        </xdr:to>
        <xdr:sp macro="" textlink="">
          <xdr:nvSpPr>
            <xdr:cNvPr id="30806" name="Check Box 86" hidden="1">
              <a:extLst>
                <a:ext uri="{63B3BB69-23CF-44E3-9099-C40C66FF867C}">
                  <a14:compatExt spid="_x0000_s30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28</xdr:row>
          <xdr:rowOff>0</xdr:rowOff>
        </xdr:from>
        <xdr:to>
          <xdr:col>10</xdr:col>
          <xdr:colOff>1200150</xdr:colOff>
          <xdr:row>29</xdr:row>
          <xdr:rowOff>28575</xdr:rowOff>
        </xdr:to>
        <xdr:sp macro="" textlink="">
          <xdr:nvSpPr>
            <xdr:cNvPr id="30807" name="Check Box 87" hidden="1">
              <a:extLst>
                <a:ext uri="{63B3BB69-23CF-44E3-9099-C40C66FF867C}">
                  <a14:compatExt spid="_x0000_s30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29</xdr:row>
          <xdr:rowOff>19050</xdr:rowOff>
        </xdr:from>
        <xdr:to>
          <xdr:col>10</xdr:col>
          <xdr:colOff>1152525</xdr:colOff>
          <xdr:row>30</xdr:row>
          <xdr:rowOff>28575</xdr:rowOff>
        </xdr:to>
        <xdr:sp macro="" textlink="">
          <xdr:nvSpPr>
            <xdr:cNvPr id="30808" name="Check Box 88" hidden="1">
              <a:extLst>
                <a:ext uri="{63B3BB69-23CF-44E3-9099-C40C66FF867C}">
                  <a14:compatExt spid="_x0000_s30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30</xdr:row>
          <xdr:rowOff>9525</xdr:rowOff>
        </xdr:from>
        <xdr:to>
          <xdr:col>10</xdr:col>
          <xdr:colOff>1171575</xdr:colOff>
          <xdr:row>31</xdr:row>
          <xdr:rowOff>28575</xdr:rowOff>
        </xdr:to>
        <xdr:sp macro="" textlink="">
          <xdr:nvSpPr>
            <xdr:cNvPr id="30809" name="Check Box 89" hidden="1">
              <a:extLst>
                <a:ext uri="{63B3BB69-23CF-44E3-9099-C40C66FF867C}">
                  <a14:compatExt spid="_x0000_s30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31</xdr:row>
          <xdr:rowOff>19050</xdr:rowOff>
        </xdr:from>
        <xdr:to>
          <xdr:col>10</xdr:col>
          <xdr:colOff>1190625</xdr:colOff>
          <xdr:row>32</xdr:row>
          <xdr:rowOff>28575</xdr:rowOff>
        </xdr:to>
        <xdr:sp macro="" textlink="">
          <xdr:nvSpPr>
            <xdr:cNvPr id="30810" name="Check Box 90" hidden="1">
              <a:extLst>
                <a:ext uri="{63B3BB69-23CF-44E3-9099-C40C66FF867C}">
                  <a14:compatExt spid="_x0000_s30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32</xdr:row>
          <xdr:rowOff>0</xdr:rowOff>
        </xdr:from>
        <xdr:to>
          <xdr:col>10</xdr:col>
          <xdr:colOff>1190625</xdr:colOff>
          <xdr:row>33</xdr:row>
          <xdr:rowOff>28575</xdr:rowOff>
        </xdr:to>
        <xdr:sp macro="" textlink="">
          <xdr:nvSpPr>
            <xdr:cNvPr id="30811" name="Check Box 91" hidden="1">
              <a:extLst>
                <a:ext uri="{63B3BB69-23CF-44E3-9099-C40C66FF867C}">
                  <a14:compatExt spid="_x0000_s30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33</xdr:row>
          <xdr:rowOff>0</xdr:rowOff>
        </xdr:from>
        <xdr:to>
          <xdr:col>10</xdr:col>
          <xdr:colOff>1162050</xdr:colOff>
          <xdr:row>34</xdr:row>
          <xdr:rowOff>28575</xdr:rowOff>
        </xdr:to>
        <xdr:sp macro="" textlink="">
          <xdr:nvSpPr>
            <xdr:cNvPr id="30812" name="Check Box 92" hidden="1">
              <a:extLst>
                <a:ext uri="{63B3BB69-23CF-44E3-9099-C40C66FF867C}">
                  <a14:compatExt spid="_x0000_s30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34</xdr:row>
          <xdr:rowOff>0</xdr:rowOff>
        </xdr:from>
        <xdr:to>
          <xdr:col>10</xdr:col>
          <xdr:colOff>1228725</xdr:colOff>
          <xdr:row>35</xdr:row>
          <xdr:rowOff>9525</xdr:rowOff>
        </xdr:to>
        <xdr:sp macro="" textlink="">
          <xdr:nvSpPr>
            <xdr:cNvPr id="30813" name="Check Box 93" hidden="1">
              <a:extLst>
                <a:ext uri="{63B3BB69-23CF-44E3-9099-C40C66FF867C}">
                  <a14:compatExt spid="_x0000_s30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7</xdr:row>
          <xdr:rowOff>9525</xdr:rowOff>
        </xdr:from>
        <xdr:to>
          <xdr:col>8</xdr:col>
          <xdr:colOff>990600</xdr:colOff>
          <xdr:row>8</xdr:row>
          <xdr:rowOff>9525</xdr:rowOff>
        </xdr:to>
        <xdr:sp macro="" textlink="">
          <xdr:nvSpPr>
            <xdr:cNvPr id="30814" name="Check Box 94" hidden="1">
              <a:extLst>
                <a:ext uri="{63B3BB69-23CF-44E3-9099-C40C66FF867C}">
                  <a14:compatExt spid="_x0000_s30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8</xdr:row>
          <xdr:rowOff>9525</xdr:rowOff>
        </xdr:from>
        <xdr:to>
          <xdr:col>8</xdr:col>
          <xdr:colOff>914400</xdr:colOff>
          <xdr:row>9</xdr:row>
          <xdr:rowOff>19050</xdr:rowOff>
        </xdr:to>
        <xdr:sp macro="" textlink="">
          <xdr:nvSpPr>
            <xdr:cNvPr id="30815" name="Check Box 95" hidden="1">
              <a:extLst>
                <a:ext uri="{63B3BB69-23CF-44E3-9099-C40C66FF867C}">
                  <a14:compatExt spid="_x0000_s30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9</xdr:row>
          <xdr:rowOff>9525</xdr:rowOff>
        </xdr:from>
        <xdr:to>
          <xdr:col>8</xdr:col>
          <xdr:colOff>914400</xdr:colOff>
          <xdr:row>10</xdr:row>
          <xdr:rowOff>19050</xdr:rowOff>
        </xdr:to>
        <xdr:sp macro="" textlink="">
          <xdr:nvSpPr>
            <xdr:cNvPr id="30816" name="Check Box 96" hidden="1">
              <a:extLst>
                <a:ext uri="{63B3BB69-23CF-44E3-9099-C40C66FF867C}">
                  <a14:compatExt spid="_x0000_s30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9</xdr:row>
          <xdr:rowOff>171450</xdr:rowOff>
        </xdr:from>
        <xdr:to>
          <xdr:col>8</xdr:col>
          <xdr:colOff>914400</xdr:colOff>
          <xdr:row>11</xdr:row>
          <xdr:rowOff>0</xdr:rowOff>
        </xdr:to>
        <xdr:sp macro="" textlink="">
          <xdr:nvSpPr>
            <xdr:cNvPr id="30817" name="Check Box 97" hidden="1">
              <a:extLst>
                <a:ext uri="{63B3BB69-23CF-44E3-9099-C40C66FF867C}">
                  <a14:compatExt spid="_x0000_s30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10</xdr:row>
          <xdr:rowOff>171450</xdr:rowOff>
        </xdr:from>
        <xdr:to>
          <xdr:col>8</xdr:col>
          <xdr:colOff>933450</xdr:colOff>
          <xdr:row>12</xdr:row>
          <xdr:rowOff>19050</xdr:rowOff>
        </xdr:to>
        <xdr:sp macro="" textlink="">
          <xdr:nvSpPr>
            <xdr:cNvPr id="30818" name="Check Box 98" hidden="1">
              <a:extLst>
                <a:ext uri="{63B3BB69-23CF-44E3-9099-C40C66FF867C}">
                  <a14:compatExt spid="_x0000_s30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11</xdr:row>
          <xdr:rowOff>180975</xdr:rowOff>
        </xdr:from>
        <xdr:to>
          <xdr:col>8</xdr:col>
          <xdr:colOff>942975</xdr:colOff>
          <xdr:row>13</xdr:row>
          <xdr:rowOff>9525</xdr:rowOff>
        </xdr:to>
        <xdr:sp macro="" textlink="">
          <xdr:nvSpPr>
            <xdr:cNvPr id="30819" name="Check Box 99" hidden="1">
              <a:extLst>
                <a:ext uri="{63B3BB69-23CF-44E3-9099-C40C66FF867C}">
                  <a14:compatExt spid="_x0000_s30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13</xdr:row>
          <xdr:rowOff>9525</xdr:rowOff>
        </xdr:from>
        <xdr:to>
          <xdr:col>8</xdr:col>
          <xdr:colOff>904875</xdr:colOff>
          <xdr:row>14</xdr:row>
          <xdr:rowOff>28575</xdr:rowOff>
        </xdr:to>
        <xdr:sp macro="" textlink="">
          <xdr:nvSpPr>
            <xdr:cNvPr id="30820" name="Check Box 100" hidden="1">
              <a:extLst>
                <a:ext uri="{63B3BB69-23CF-44E3-9099-C40C66FF867C}">
                  <a14:compatExt spid="_x0000_s30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14</xdr:row>
          <xdr:rowOff>0</xdr:rowOff>
        </xdr:from>
        <xdr:to>
          <xdr:col>8</xdr:col>
          <xdr:colOff>914400</xdr:colOff>
          <xdr:row>15</xdr:row>
          <xdr:rowOff>9525</xdr:rowOff>
        </xdr:to>
        <xdr:sp macro="" textlink="">
          <xdr:nvSpPr>
            <xdr:cNvPr id="30821" name="Check Box 101" hidden="1">
              <a:extLst>
                <a:ext uri="{63B3BB69-23CF-44E3-9099-C40C66FF867C}">
                  <a14:compatExt spid="_x0000_s30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15</xdr:row>
          <xdr:rowOff>0</xdr:rowOff>
        </xdr:from>
        <xdr:to>
          <xdr:col>8</xdr:col>
          <xdr:colOff>885825</xdr:colOff>
          <xdr:row>16</xdr:row>
          <xdr:rowOff>9525</xdr:rowOff>
        </xdr:to>
        <xdr:sp macro="" textlink="">
          <xdr:nvSpPr>
            <xdr:cNvPr id="30822" name="Check Box 102" hidden="1">
              <a:extLst>
                <a:ext uri="{63B3BB69-23CF-44E3-9099-C40C66FF867C}">
                  <a14:compatExt spid="_x0000_s30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16</xdr:row>
          <xdr:rowOff>19050</xdr:rowOff>
        </xdr:from>
        <xdr:to>
          <xdr:col>8</xdr:col>
          <xdr:colOff>933450</xdr:colOff>
          <xdr:row>17</xdr:row>
          <xdr:rowOff>38100</xdr:rowOff>
        </xdr:to>
        <xdr:sp macro="" textlink="">
          <xdr:nvSpPr>
            <xdr:cNvPr id="30823" name="Check Box 103" hidden="1">
              <a:extLst>
                <a:ext uri="{63B3BB69-23CF-44E3-9099-C40C66FF867C}">
                  <a14:compatExt spid="_x0000_s30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17</xdr:row>
          <xdr:rowOff>9525</xdr:rowOff>
        </xdr:from>
        <xdr:to>
          <xdr:col>8</xdr:col>
          <xdr:colOff>962025</xdr:colOff>
          <xdr:row>18</xdr:row>
          <xdr:rowOff>9525</xdr:rowOff>
        </xdr:to>
        <xdr:sp macro="" textlink="">
          <xdr:nvSpPr>
            <xdr:cNvPr id="30824" name="Check Box 104" hidden="1">
              <a:extLst>
                <a:ext uri="{63B3BB69-23CF-44E3-9099-C40C66FF867C}">
                  <a14:compatExt spid="_x0000_s30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18</xdr:row>
          <xdr:rowOff>0</xdr:rowOff>
        </xdr:from>
        <xdr:to>
          <xdr:col>8</xdr:col>
          <xdr:colOff>933450</xdr:colOff>
          <xdr:row>19</xdr:row>
          <xdr:rowOff>9525</xdr:rowOff>
        </xdr:to>
        <xdr:sp macro="" textlink="">
          <xdr:nvSpPr>
            <xdr:cNvPr id="30825" name="Check Box 105" hidden="1">
              <a:extLst>
                <a:ext uri="{63B3BB69-23CF-44E3-9099-C40C66FF867C}">
                  <a14:compatExt spid="_x0000_s30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19</xdr:row>
          <xdr:rowOff>9525</xdr:rowOff>
        </xdr:from>
        <xdr:to>
          <xdr:col>8</xdr:col>
          <xdr:colOff>904875</xdr:colOff>
          <xdr:row>20</xdr:row>
          <xdr:rowOff>19050</xdr:rowOff>
        </xdr:to>
        <xdr:sp macro="" textlink="">
          <xdr:nvSpPr>
            <xdr:cNvPr id="30826" name="Check Box 106" hidden="1">
              <a:extLst>
                <a:ext uri="{63B3BB69-23CF-44E3-9099-C40C66FF867C}">
                  <a14:compatExt spid="_x0000_s30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20</xdr:row>
          <xdr:rowOff>28575</xdr:rowOff>
        </xdr:from>
        <xdr:to>
          <xdr:col>8</xdr:col>
          <xdr:colOff>876300</xdr:colOff>
          <xdr:row>21</xdr:row>
          <xdr:rowOff>28575</xdr:rowOff>
        </xdr:to>
        <xdr:sp macro="" textlink="">
          <xdr:nvSpPr>
            <xdr:cNvPr id="30827" name="Check Box 107" hidden="1">
              <a:extLst>
                <a:ext uri="{63B3BB69-23CF-44E3-9099-C40C66FF867C}">
                  <a14:compatExt spid="_x0000_s30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20</xdr:row>
          <xdr:rowOff>180975</xdr:rowOff>
        </xdr:from>
        <xdr:to>
          <xdr:col>8</xdr:col>
          <xdr:colOff>904875</xdr:colOff>
          <xdr:row>22</xdr:row>
          <xdr:rowOff>9525</xdr:rowOff>
        </xdr:to>
        <xdr:sp macro="" textlink="">
          <xdr:nvSpPr>
            <xdr:cNvPr id="30828" name="Check Box 108" hidden="1">
              <a:extLst>
                <a:ext uri="{63B3BB69-23CF-44E3-9099-C40C66FF867C}">
                  <a14:compatExt spid="_x0000_s30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21</xdr:row>
          <xdr:rowOff>180975</xdr:rowOff>
        </xdr:from>
        <xdr:to>
          <xdr:col>8</xdr:col>
          <xdr:colOff>933450</xdr:colOff>
          <xdr:row>23</xdr:row>
          <xdr:rowOff>28575</xdr:rowOff>
        </xdr:to>
        <xdr:sp macro="" textlink="">
          <xdr:nvSpPr>
            <xdr:cNvPr id="30829" name="Check Box 109" hidden="1">
              <a:extLst>
                <a:ext uri="{63B3BB69-23CF-44E3-9099-C40C66FF867C}">
                  <a14:compatExt spid="_x0000_s30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22</xdr:row>
          <xdr:rowOff>180975</xdr:rowOff>
        </xdr:from>
        <xdr:to>
          <xdr:col>8</xdr:col>
          <xdr:colOff>933450</xdr:colOff>
          <xdr:row>24</xdr:row>
          <xdr:rowOff>19050</xdr:rowOff>
        </xdr:to>
        <xdr:sp macro="" textlink="">
          <xdr:nvSpPr>
            <xdr:cNvPr id="30830" name="Check Box 110" hidden="1">
              <a:extLst>
                <a:ext uri="{63B3BB69-23CF-44E3-9099-C40C66FF867C}">
                  <a14:compatExt spid="_x0000_s30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24</xdr:row>
          <xdr:rowOff>9525</xdr:rowOff>
        </xdr:from>
        <xdr:to>
          <xdr:col>8</xdr:col>
          <xdr:colOff>933450</xdr:colOff>
          <xdr:row>25</xdr:row>
          <xdr:rowOff>28575</xdr:rowOff>
        </xdr:to>
        <xdr:sp macro="" textlink="">
          <xdr:nvSpPr>
            <xdr:cNvPr id="30831" name="Check Box 111" hidden="1">
              <a:extLst>
                <a:ext uri="{63B3BB69-23CF-44E3-9099-C40C66FF867C}">
                  <a14:compatExt spid="_x0000_s30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25</xdr:row>
          <xdr:rowOff>0</xdr:rowOff>
        </xdr:from>
        <xdr:to>
          <xdr:col>8</xdr:col>
          <xdr:colOff>914400</xdr:colOff>
          <xdr:row>26</xdr:row>
          <xdr:rowOff>9525</xdr:rowOff>
        </xdr:to>
        <xdr:sp macro="" textlink="">
          <xdr:nvSpPr>
            <xdr:cNvPr id="30832" name="Check Box 112" hidden="1">
              <a:extLst>
                <a:ext uri="{63B3BB69-23CF-44E3-9099-C40C66FF867C}">
                  <a14:compatExt spid="_x0000_s30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26</xdr:row>
          <xdr:rowOff>9525</xdr:rowOff>
        </xdr:from>
        <xdr:to>
          <xdr:col>8</xdr:col>
          <xdr:colOff>895350</xdr:colOff>
          <xdr:row>27</xdr:row>
          <xdr:rowOff>19050</xdr:rowOff>
        </xdr:to>
        <xdr:sp macro="" textlink="">
          <xdr:nvSpPr>
            <xdr:cNvPr id="30833" name="Check Box 113" hidden="1">
              <a:extLst>
                <a:ext uri="{63B3BB69-23CF-44E3-9099-C40C66FF867C}">
                  <a14:compatExt spid="_x0000_s30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6</xdr:row>
          <xdr:rowOff>9525</xdr:rowOff>
        </xdr:from>
        <xdr:to>
          <xdr:col>8</xdr:col>
          <xdr:colOff>1028700</xdr:colOff>
          <xdr:row>7</xdr:row>
          <xdr:rowOff>19050</xdr:rowOff>
        </xdr:to>
        <xdr:sp macro="" textlink="">
          <xdr:nvSpPr>
            <xdr:cNvPr id="30834" name="Check Box 114" hidden="1">
              <a:extLst>
                <a:ext uri="{63B3BB69-23CF-44E3-9099-C40C66FF867C}">
                  <a14:compatExt spid="_x0000_s3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4</xdr:row>
          <xdr:rowOff>180975</xdr:rowOff>
        </xdr:from>
        <xdr:to>
          <xdr:col>8</xdr:col>
          <xdr:colOff>1000125</xdr:colOff>
          <xdr:row>6</xdr:row>
          <xdr:rowOff>19050</xdr:rowOff>
        </xdr:to>
        <xdr:sp macro="" textlink="">
          <xdr:nvSpPr>
            <xdr:cNvPr id="30835" name="Check Box 115" hidden="1">
              <a:extLst>
                <a:ext uri="{63B3BB69-23CF-44E3-9099-C40C66FF867C}">
                  <a14:compatExt spid="_x0000_s30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3</xdr:row>
          <xdr:rowOff>180975</xdr:rowOff>
        </xdr:from>
        <xdr:to>
          <xdr:col>8</xdr:col>
          <xdr:colOff>1000125</xdr:colOff>
          <xdr:row>5</xdr:row>
          <xdr:rowOff>19050</xdr:rowOff>
        </xdr:to>
        <xdr:sp macro="" textlink="">
          <xdr:nvSpPr>
            <xdr:cNvPr id="30836" name="Check Box 116" hidden="1">
              <a:extLst>
                <a:ext uri="{63B3BB69-23CF-44E3-9099-C40C66FF867C}">
                  <a14:compatExt spid="_x0000_s30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27</xdr:row>
          <xdr:rowOff>47625</xdr:rowOff>
        </xdr:from>
        <xdr:to>
          <xdr:col>8</xdr:col>
          <xdr:colOff>866775</xdr:colOff>
          <xdr:row>28</xdr:row>
          <xdr:rowOff>47625</xdr:rowOff>
        </xdr:to>
        <xdr:sp macro="" textlink="">
          <xdr:nvSpPr>
            <xdr:cNvPr id="30837" name="Check Box 117" hidden="1">
              <a:extLst>
                <a:ext uri="{63B3BB69-23CF-44E3-9099-C40C66FF867C}">
                  <a14:compatExt spid="_x0000_s30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28</xdr:row>
          <xdr:rowOff>28575</xdr:rowOff>
        </xdr:from>
        <xdr:to>
          <xdr:col>8</xdr:col>
          <xdr:colOff>885825</xdr:colOff>
          <xdr:row>29</xdr:row>
          <xdr:rowOff>47625</xdr:rowOff>
        </xdr:to>
        <xdr:sp macro="" textlink="">
          <xdr:nvSpPr>
            <xdr:cNvPr id="30838" name="Check Box 118" hidden="1">
              <a:extLst>
                <a:ext uri="{63B3BB69-23CF-44E3-9099-C40C66FF867C}">
                  <a14:compatExt spid="_x0000_s30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29</xdr:row>
          <xdr:rowOff>9525</xdr:rowOff>
        </xdr:from>
        <xdr:to>
          <xdr:col>8</xdr:col>
          <xdr:colOff>923925</xdr:colOff>
          <xdr:row>30</xdr:row>
          <xdr:rowOff>47625</xdr:rowOff>
        </xdr:to>
        <xdr:sp macro="" textlink="">
          <xdr:nvSpPr>
            <xdr:cNvPr id="30839" name="Check Box 119" hidden="1">
              <a:extLst>
                <a:ext uri="{63B3BB69-23CF-44E3-9099-C40C66FF867C}">
                  <a14:compatExt spid="_x0000_s30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30</xdr:row>
          <xdr:rowOff>9525</xdr:rowOff>
        </xdr:from>
        <xdr:to>
          <xdr:col>8</xdr:col>
          <xdr:colOff>923925</xdr:colOff>
          <xdr:row>31</xdr:row>
          <xdr:rowOff>38100</xdr:rowOff>
        </xdr:to>
        <xdr:sp macro="" textlink="">
          <xdr:nvSpPr>
            <xdr:cNvPr id="30840" name="Check Box 120" hidden="1">
              <a:extLst>
                <a:ext uri="{63B3BB69-23CF-44E3-9099-C40C66FF867C}">
                  <a14:compatExt spid="_x0000_s30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31</xdr:row>
          <xdr:rowOff>28575</xdr:rowOff>
        </xdr:from>
        <xdr:to>
          <xdr:col>8</xdr:col>
          <xdr:colOff>923925</xdr:colOff>
          <xdr:row>32</xdr:row>
          <xdr:rowOff>47625</xdr:rowOff>
        </xdr:to>
        <xdr:sp macro="" textlink="">
          <xdr:nvSpPr>
            <xdr:cNvPr id="30841" name="Check Box 121" hidden="1">
              <a:extLst>
                <a:ext uri="{63B3BB69-23CF-44E3-9099-C40C66FF867C}">
                  <a14:compatExt spid="_x0000_s30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32</xdr:row>
          <xdr:rowOff>19050</xdr:rowOff>
        </xdr:from>
        <xdr:to>
          <xdr:col>8</xdr:col>
          <xdr:colOff>904875</xdr:colOff>
          <xdr:row>33</xdr:row>
          <xdr:rowOff>28575</xdr:rowOff>
        </xdr:to>
        <xdr:sp macro="" textlink="">
          <xdr:nvSpPr>
            <xdr:cNvPr id="30842" name="Check Box 122" hidden="1">
              <a:extLst>
                <a:ext uri="{63B3BB69-23CF-44E3-9099-C40C66FF867C}">
                  <a14:compatExt spid="_x0000_s30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33</xdr:row>
          <xdr:rowOff>9525</xdr:rowOff>
        </xdr:from>
        <xdr:to>
          <xdr:col>8</xdr:col>
          <xdr:colOff>885825</xdr:colOff>
          <xdr:row>34</xdr:row>
          <xdr:rowOff>19050</xdr:rowOff>
        </xdr:to>
        <xdr:sp macro="" textlink="">
          <xdr:nvSpPr>
            <xdr:cNvPr id="30843" name="Check Box 123" hidden="1">
              <a:extLst>
                <a:ext uri="{63B3BB69-23CF-44E3-9099-C40C66FF867C}">
                  <a14:compatExt spid="_x0000_s30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33</xdr:row>
          <xdr:rowOff>180975</xdr:rowOff>
        </xdr:from>
        <xdr:to>
          <xdr:col>8</xdr:col>
          <xdr:colOff>885825</xdr:colOff>
          <xdr:row>35</xdr:row>
          <xdr:rowOff>0</xdr:rowOff>
        </xdr:to>
        <xdr:sp macro="" textlink="">
          <xdr:nvSpPr>
            <xdr:cNvPr id="30844" name="Check Box 124" hidden="1">
              <a:extLst>
                <a:ext uri="{63B3BB69-23CF-44E3-9099-C40C66FF867C}">
                  <a14:compatExt spid="_x0000_s30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6</xdr:row>
          <xdr:rowOff>171450</xdr:rowOff>
        </xdr:from>
        <xdr:to>
          <xdr:col>11</xdr:col>
          <xdr:colOff>914400</xdr:colOff>
          <xdr:row>7</xdr:row>
          <xdr:rowOff>171450</xdr:rowOff>
        </xdr:to>
        <xdr:sp macro="" textlink="">
          <xdr:nvSpPr>
            <xdr:cNvPr id="30858" name="Check Box 138" hidden="1">
              <a:extLst>
                <a:ext uri="{63B3BB69-23CF-44E3-9099-C40C66FF867C}">
                  <a14:compatExt spid="_x0000_s30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7</xdr:row>
          <xdr:rowOff>171450</xdr:rowOff>
        </xdr:from>
        <xdr:to>
          <xdr:col>11</xdr:col>
          <xdr:colOff>838200</xdr:colOff>
          <xdr:row>8</xdr:row>
          <xdr:rowOff>180975</xdr:rowOff>
        </xdr:to>
        <xdr:sp macro="" textlink="">
          <xdr:nvSpPr>
            <xdr:cNvPr id="30859" name="Check Box 139" hidden="1">
              <a:extLst>
                <a:ext uri="{63B3BB69-23CF-44E3-9099-C40C66FF867C}">
                  <a14:compatExt spid="_x0000_s30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8</xdr:row>
          <xdr:rowOff>171450</xdr:rowOff>
        </xdr:from>
        <xdr:to>
          <xdr:col>11</xdr:col>
          <xdr:colOff>838200</xdr:colOff>
          <xdr:row>9</xdr:row>
          <xdr:rowOff>180975</xdr:rowOff>
        </xdr:to>
        <xdr:sp macro="" textlink="">
          <xdr:nvSpPr>
            <xdr:cNvPr id="30860" name="Check Box 140" hidden="1">
              <a:extLst>
                <a:ext uri="{63B3BB69-23CF-44E3-9099-C40C66FF867C}">
                  <a14:compatExt spid="_x0000_s30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9</xdr:row>
          <xdr:rowOff>142875</xdr:rowOff>
        </xdr:from>
        <xdr:to>
          <xdr:col>11</xdr:col>
          <xdr:colOff>838200</xdr:colOff>
          <xdr:row>10</xdr:row>
          <xdr:rowOff>161925</xdr:rowOff>
        </xdr:to>
        <xdr:sp macro="" textlink="">
          <xdr:nvSpPr>
            <xdr:cNvPr id="30861" name="Check Box 141" hidden="1">
              <a:extLst>
                <a:ext uri="{63B3BB69-23CF-44E3-9099-C40C66FF867C}">
                  <a14:compatExt spid="_x0000_s30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10</xdr:row>
          <xdr:rowOff>142875</xdr:rowOff>
        </xdr:from>
        <xdr:to>
          <xdr:col>11</xdr:col>
          <xdr:colOff>857250</xdr:colOff>
          <xdr:row>11</xdr:row>
          <xdr:rowOff>180975</xdr:rowOff>
        </xdr:to>
        <xdr:sp macro="" textlink="">
          <xdr:nvSpPr>
            <xdr:cNvPr id="30862" name="Check Box 142" hidden="1">
              <a:extLst>
                <a:ext uri="{63B3BB69-23CF-44E3-9099-C40C66FF867C}">
                  <a14:compatExt spid="_x0000_s30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11</xdr:row>
          <xdr:rowOff>152400</xdr:rowOff>
        </xdr:from>
        <xdr:to>
          <xdr:col>11</xdr:col>
          <xdr:colOff>866775</xdr:colOff>
          <xdr:row>12</xdr:row>
          <xdr:rowOff>171450</xdr:rowOff>
        </xdr:to>
        <xdr:sp macro="" textlink="">
          <xdr:nvSpPr>
            <xdr:cNvPr id="30863" name="Check Box 143" hidden="1">
              <a:extLst>
                <a:ext uri="{63B3BB69-23CF-44E3-9099-C40C66FF867C}">
                  <a14:compatExt spid="_x0000_s30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12</xdr:row>
          <xdr:rowOff>171450</xdr:rowOff>
        </xdr:from>
        <xdr:to>
          <xdr:col>11</xdr:col>
          <xdr:colOff>828675</xdr:colOff>
          <xdr:row>14</xdr:row>
          <xdr:rowOff>0</xdr:rowOff>
        </xdr:to>
        <xdr:sp macro="" textlink="">
          <xdr:nvSpPr>
            <xdr:cNvPr id="30864" name="Check Box 144" hidden="1">
              <a:extLst>
                <a:ext uri="{63B3BB69-23CF-44E3-9099-C40C66FF867C}">
                  <a14:compatExt spid="_x0000_s30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13</xdr:row>
          <xdr:rowOff>161925</xdr:rowOff>
        </xdr:from>
        <xdr:to>
          <xdr:col>11</xdr:col>
          <xdr:colOff>838200</xdr:colOff>
          <xdr:row>14</xdr:row>
          <xdr:rowOff>171450</xdr:rowOff>
        </xdr:to>
        <xdr:sp macro="" textlink="">
          <xdr:nvSpPr>
            <xdr:cNvPr id="30865" name="Check Box 145" hidden="1">
              <a:extLst>
                <a:ext uri="{63B3BB69-23CF-44E3-9099-C40C66FF867C}">
                  <a14:compatExt spid="_x0000_s30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14</xdr:row>
          <xdr:rowOff>152400</xdr:rowOff>
        </xdr:from>
        <xdr:to>
          <xdr:col>12</xdr:col>
          <xdr:colOff>628650</xdr:colOff>
          <xdr:row>15</xdr:row>
          <xdr:rowOff>171450</xdr:rowOff>
        </xdr:to>
        <xdr:sp macro="" textlink="">
          <xdr:nvSpPr>
            <xdr:cNvPr id="30866" name="Check Box 146" hidden="1">
              <a:extLst>
                <a:ext uri="{63B3BB69-23CF-44E3-9099-C40C66FF867C}">
                  <a14:compatExt spid="_x0000_s30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15</xdr:row>
          <xdr:rowOff>180975</xdr:rowOff>
        </xdr:from>
        <xdr:to>
          <xdr:col>11</xdr:col>
          <xdr:colOff>857250</xdr:colOff>
          <xdr:row>17</xdr:row>
          <xdr:rowOff>9525</xdr:rowOff>
        </xdr:to>
        <xdr:sp macro="" textlink="">
          <xdr:nvSpPr>
            <xdr:cNvPr id="30867" name="Check Box 147" hidden="1">
              <a:extLst>
                <a:ext uri="{63B3BB69-23CF-44E3-9099-C40C66FF867C}">
                  <a14:compatExt spid="_x0000_s30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16</xdr:row>
          <xdr:rowOff>171450</xdr:rowOff>
        </xdr:from>
        <xdr:to>
          <xdr:col>11</xdr:col>
          <xdr:colOff>885825</xdr:colOff>
          <xdr:row>17</xdr:row>
          <xdr:rowOff>171450</xdr:rowOff>
        </xdr:to>
        <xdr:sp macro="" textlink="">
          <xdr:nvSpPr>
            <xdr:cNvPr id="30868" name="Check Box 148" hidden="1">
              <a:extLst>
                <a:ext uri="{63B3BB69-23CF-44E3-9099-C40C66FF867C}">
                  <a14:compatExt spid="_x0000_s30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17</xdr:row>
          <xdr:rowOff>161925</xdr:rowOff>
        </xdr:from>
        <xdr:to>
          <xdr:col>11</xdr:col>
          <xdr:colOff>857250</xdr:colOff>
          <xdr:row>18</xdr:row>
          <xdr:rowOff>171450</xdr:rowOff>
        </xdr:to>
        <xdr:sp macro="" textlink="">
          <xdr:nvSpPr>
            <xdr:cNvPr id="30869" name="Check Box 149" hidden="1">
              <a:extLst>
                <a:ext uri="{63B3BB69-23CF-44E3-9099-C40C66FF867C}">
                  <a14:compatExt spid="_x0000_s30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18</xdr:row>
          <xdr:rowOff>171450</xdr:rowOff>
        </xdr:from>
        <xdr:to>
          <xdr:col>11</xdr:col>
          <xdr:colOff>828675</xdr:colOff>
          <xdr:row>19</xdr:row>
          <xdr:rowOff>180975</xdr:rowOff>
        </xdr:to>
        <xdr:sp macro="" textlink="">
          <xdr:nvSpPr>
            <xdr:cNvPr id="30870" name="Check Box 150" hidden="1">
              <a:extLst>
                <a:ext uri="{63B3BB69-23CF-44E3-9099-C40C66FF867C}">
                  <a14:compatExt spid="_x0000_s30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20</xdr:row>
          <xdr:rowOff>0</xdr:rowOff>
        </xdr:from>
        <xdr:to>
          <xdr:col>11</xdr:col>
          <xdr:colOff>800100</xdr:colOff>
          <xdr:row>21</xdr:row>
          <xdr:rowOff>0</xdr:rowOff>
        </xdr:to>
        <xdr:sp macro="" textlink="">
          <xdr:nvSpPr>
            <xdr:cNvPr id="30871" name="Check Box 151" hidden="1">
              <a:extLst>
                <a:ext uri="{63B3BB69-23CF-44E3-9099-C40C66FF867C}">
                  <a14:compatExt spid="_x0000_s30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20</xdr:row>
          <xdr:rowOff>152400</xdr:rowOff>
        </xdr:from>
        <xdr:to>
          <xdr:col>11</xdr:col>
          <xdr:colOff>828675</xdr:colOff>
          <xdr:row>21</xdr:row>
          <xdr:rowOff>171450</xdr:rowOff>
        </xdr:to>
        <xdr:sp macro="" textlink="">
          <xdr:nvSpPr>
            <xdr:cNvPr id="30872" name="Check Box 152" hidden="1">
              <a:extLst>
                <a:ext uri="{63B3BB69-23CF-44E3-9099-C40C66FF867C}">
                  <a14:compatExt spid="_x0000_s30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21</xdr:row>
          <xdr:rowOff>152400</xdr:rowOff>
        </xdr:from>
        <xdr:to>
          <xdr:col>11</xdr:col>
          <xdr:colOff>857250</xdr:colOff>
          <xdr:row>23</xdr:row>
          <xdr:rowOff>0</xdr:rowOff>
        </xdr:to>
        <xdr:sp macro="" textlink="">
          <xdr:nvSpPr>
            <xdr:cNvPr id="30873" name="Check Box 153" hidden="1">
              <a:extLst>
                <a:ext uri="{63B3BB69-23CF-44E3-9099-C40C66FF867C}">
                  <a14:compatExt spid="_x0000_s30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22</xdr:row>
          <xdr:rowOff>152400</xdr:rowOff>
        </xdr:from>
        <xdr:to>
          <xdr:col>11</xdr:col>
          <xdr:colOff>857250</xdr:colOff>
          <xdr:row>23</xdr:row>
          <xdr:rowOff>180975</xdr:rowOff>
        </xdr:to>
        <xdr:sp macro="" textlink="">
          <xdr:nvSpPr>
            <xdr:cNvPr id="30874" name="Check Box 154" hidden="1">
              <a:extLst>
                <a:ext uri="{63B3BB69-23CF-44E3-9099-C40C66FF867C}">
                  <a14:compatExt spid="_x0000_s30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23</xdr:row>
          <xdr:rowOff>171450</xdr:rowOff>
        </xdr:from>
        <xdr:to>
          <xdr:col>11</xdr:col>
          <xdr:colOff>857250</xdr:colOff>
          <xdr:row>25</xdr:row>
          <xdr:rowOff>0</xdr:rowOff>
        </xdr:to>
        <xdr:sp macro="" textlink="">
          <xdr:nvSpPr>
            <xdr:cNvPr id="30875" name="Check Box 155" hidden="1">
              <a:extLst>
                <a:ext uri="{63B3BB69-23CF-44E3-9099-C40C66FF867C}">
                  <a14:compatExt spid="_x0000_s30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24</xdr:row>
          <xdr:rowOff>161925</xdr:rowOff>
        </xdr:from>
        <xdr:to>
          <xdr:col>11</xdr:col>
          <xdr:colOff>838200</xdr:colOff>
          <xdr:row>25</xdr:row>
          <xdr:rowOff>171450</xdr:rowOff>
        </xdr:to>
        <xdr:sp macro="" textlink="">
          <xdr:nvSpPr>
            <xdr:cNvPr id="30876" name="Check Box 156" hidden="1">
              <a:extLst>
                <a:ext uri="{63B3BB69-23CF-44E3-9099-C40C66FF867C}">
                  <a14:compatExt spid="_x0000_s30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25</xdr:row>
          <xdr:rowOff>171450</xdr:rowOff>
        </xdr:from>
        <xdr:to>
          <xdr:col>11</xdr:col>
          <xdr:colOff>819150</xdr:colOff>
          <xdr:row>26</xdr:row>
          <xdr:rowOff>180975</xdr:rowOff>
        </xdr:to>
        <xdr:sp macro="" textlink="">
          <xdr:nvSpPr>
            <xdr:cNvPr id="30877" name="Check Box 157" hidden="1">
              <a:extLst>
                <a:ext uri="{63B3BB69-23CF-44E3-9099-C40C66FF867C}">
                  <a14:compatExt spid="_x0000_s30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5</xdr:row>
          <xdr:rowOff>171450</xdr:rowOff>
        </xdr:from>
        <xdr:to>
          <xdr:col>11</xdr:col>
          <xdr:colOff>952500</xdr:colOff>
          <xdr:row>6</xdr:row>
          <xdr:rowOff>180975</xdr:rowOff>
        </xdr:to>
        <xdr:sp macro="" textlink="">
          <xdr:nvSpPr>
            <xdr:cNvPr id="30878" name="Check Box 158" hidden="1">
              <a:extLst>
                <a:ext uri="{63B3BB69-23CF-44E3-9099-C40C66FF867C}">
                  <a14:compatExt spid="_x0000_s30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4</xdr:row>
          <xdr:rowOff>152400</xdr:rowOff>
        </xdr:from>
        <xdr:to>
          <xdr:col>11</xdr:col>
          <xdr:colOff>923925</xdr:colOff>
          <xdr:row>5</xdr:row>
          <xdr:rowOff>180975</xdr:rowOff>
        </xdr:to>
        <xdr:sp macro="" textlink="">
          <xdr:nvSpPr>
            <xdr:cNvPr id="30879" name="Check Box 159" hidden="1">
              <a:extLst>
                <a:ext uri="{63B3BB69-23CF-44E3-9099-C40C66FF867C}">
                  <a14:compatExt spid="_x0000_s30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3</xdr:row>
          <xdr:rowOff>152400</xdr:rowOff>
        </xdr:from>
        <xdr:to>
          <xdr:col>11</xdr:col>
          <xdr:colOff>923925</xdr:colOff>
          <xdr:row>4</xdr:row>
          <xdr:rowOff>180975</xdr:rowOff>
        </xdr:to>
        <xdr:sp macro="" textlink="">
          <xdr:nvSpPr>
            <xdr:cNvPr id="30880" name="Check Box 160" hidden="1">
              <a:extLst>
                <a:ext uri="{63B3BB69-23CF-44E3-9099-C40C66FF867C}">
                  <a14:compatExt spid="_x0000_s30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27</xdr:row>
          <xdr:rowOff>19050</xdr:rowOff>
        </xdr:from>
        <xdr:to>
          <xdr:col>11</xdr:col>
          <xdr:colOff>790575</xdr:colOff>
          <xdr:row>28</xdr:row>
          <xdr:rowOff>19050</xdr:rowOff>
        </xdr:to>
        <xdr:sp macro="" textlink="">
          <xdr:nvSpPr>
            <xdr:cNvPr id="30881" name="Check Box 161" hidden="1">
              <a:extLst>
                <a:ext uri="{63B3BB69-23CF-44E3-9099-C40C66FF867C}">
                  <a14:compatExt spid="_x0000_s30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28</xdr:row>
          <xdr:rowOff>0</xdr:rowOff>
        </xdr:from>
        <xdr:to>
          <xdr:col>11</xdr:col>
          <xdr:colOff>809625</xdr:colOff>
          <xdr:row>29</xdr:row>
          <xdr:rowOff>19050</xdr:rowOff>
        </xdr:to>
        <xdr:sp macro="" textlink="">
          <xdr:nvSpPr>
            <xdr:cNvPr id="30882" name="Check Box 162" hidden="1">
              <a:extLst>
                <a:ext uri="{63B3BB69-23CF-44E3-9099-C40C66FF867C}">
                  <a14:compatExt spid="_x0000_s30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28</xdr:row>
          <xdr:rowOff>171450</xdr:rowOff>
        </xdr:from>
        <xdr:to>
          <xdr:col>11</xdr:col>
          <xdr:colOff>847725</xdr:colOff>
          <xdr:row>30</xdr:row>
          <xdr:rowOff>19050</xdr:rowOff>
        </xdr:to>
        <xdr:sp macro="" textlink="">
          <xdr:nvSpPr>
            <xdr:cNvPr id="30883" name="Check Box 163" hidden="1">
              <a:extLst>
                <a:ext uri="{63B3BB69-23CF-44E3-9099-C40C66FF867C}">
                  <a14:compatExt spid="_x0000_s30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29</xdr:row>
          <xdr:rowOff>171450</xdr:rowOff>
        </xdr:from>
        <xdr:to>
          <xdr:col>11</xdr:col>
          <xdr:colOff>847725</xdr:colOff>
          <xdr:row>31</xdr:row>
          <xdr:rowOff>9525</xdr:rowOff>
        </xdr:to>
        <xdr:sp macro="" textlink="">
          <xdr:nvSpPr>
            <xdr:cNvPr id="30884" name="Check Box 164" hidden="1">
              <a:extLst>
                <a:ext uri="{63B3BB69-23CF-44E3-9099-C40C66FF867C}">
                  <a14:compatExt spid="_x0000_s30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31</xdr:row>
          <xdr:rowOff>0</xdr:rowOff>
        </xdr:from>
        <xdr:to>
          <xdr:col>11</xdr:col>
          <xdr:colOff>847725</xdr:colOff>
          <xdr:row>32</xdr:row>
          <xdr:rowOff>19050</xdr:rowOff>
        </xdr:to>
        <xdr:sp macro="" textlink="">
          <xdr:nvSpPr>
            <xdr:cNvPr id="30885" name="Check Box 165" hidden="1">
              <a:extLst>
                <a:ext uri="{63B3BB69-23CF-44E3-9099-C40C66FF867C}">
                  <a14:compatExt spid="_x0000_s30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31</xdr:row>
          <xdr:rowOff>180975</xdr:rowOff>
        </xdr:from>
        <xdr:to>
          <xdr:col>11</xdr:col>
          <xdr:colOff>828675</xdr:colOff>
          <xdr:row>33</xdr:row>
          <xdr:rowOff>0</xdr:rowOff>
        </xdr:to>
        <xdr:sp macro="" textlink="">
          <xdr:nvSpPr>
            <xdr:cNvPr id="30886" name="Check Box 166" hidden="1">
              <a:extLst>
                <a:ext uri="{63B3BB69-23CF-44E3-9099-C40C66FF867C}">
                  <a14:compatExt spid="_x0000_s30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32</xdr:row>
          <xdr:rowOff>171450</xdr:rowOff>
        </xdr:from>
        <xdr:to>
          <xdr:col>11</xdr:col>
          <xdr:colOff>809625</xdr:colOff>
          <xdr:row>33</xdr:row>
          <xdr:rowOff>180975</xdr:rowOff>
        </xdr:to>
        <xdr:sp macro="" textlink="">
          <xdr:nvSpPr>
            <xdr:cNvPr id="30887" name="Check Box 167" hidden="1">
              <a:extLst>
                <a:ext uri="{63B3BB69-23CF-44E3-9099-C40C66FF867C}">
                  <a14:compatExt spid="_x0000_s30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33</xdr:row>
          <xdr:rowOff>180975</xdr:rowOff>
        </xdr:from>
        <xdr:to>
          <xdr:col>11</xdr:col>
          <xdr:colOff>809625</xdr:colOff>
          <xdr:row>35</xdr:row>
          <xdr:rowOff>0</xdr:rowOff>
        </xdr:to>
        <xdr:sp macro="" textlink="">
          <xdr:nvSpPr>
            <xdr:cNvPr id="30888" name="Check Box 168" hidden="1">
              <a:extLst>
                <a:ext uri="{63B3BB69-23CF-44E3-9099-C40C66FF867C}">
                  <a14:compatExt spid="_x0000_s30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66675</xdr:rowOff>
        </xdr:from>
        <xdr:to>
          <xdr:col>12</xdr:col>
          <xdr:colOff>9525</xdr:colOff>
          <xdr:row>1</xdr:row>
          <xdr:rowOff>104775</xdr:rowOff>
        </xdr:to>
        <xdr:sp macro="" textlink="">
          <xdr:nvSpPr>
            <xdr:cNvPr id="30889" name="Button 169" hidden="1">
              <a:extLst>
                <a:ext uri="{63B3BB69-23CF-44E3-9099-C40C66FF867C}">
                  <a14:compatExt spid="_x0000_s30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771525</xdr:colOff>
      <xdr:row>0</xdr:row>
      <xdr:rowOff>38101</xdr:rowOff>
    </xdr:from>
    <xdr:to>
      <xdr:col>15</xdr:col>
      <xdr:colOff>352425</xdr:colOff>
      <xdr:row>6</xdr:row>
      <xdr:rowOff>70486</xdr:rowOff>
    </xdr:to>
    <xdr:pic>
      <xdr:nvPicPr>
        <xdr:cNvPr id="158" name="Picture 15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35350" y="38101"/>
          <a:ext cx="1828800" cy="1280160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6</xdr:row>
          <xdr:rowOff>171450</xdr:rowOff>
        </xdr:from>
        <xdr:to>
          <xdr:col>7</xdr:col>
          <xdr:colOff>1266825</xdr:colOff>
          <xdr:row>7</xdr:row>
          <xdr:rowOff>171450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7</xdr:row>
          <xdr:rowOff>171450</xdr:rowOff>
        </xdr:from>
        <xdr:to>
          <xdr:col>7</xdr:col>
          <xdr:colOff>1190625</xdr:colOff>
          <xdr:row>8</xdr:row>
          <xdr:rowOff>180975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8</xdr:row>
          <xdr:rowOff>171450</xdr:rowOff>
        </xdr:from>
        <xdr:to>
          <xdr:col>7</xdr:col>
          <xdr:colOff>1190625</xdr:colOff>
          <xdr:row>9</xdr:row>
          <xdr:rowOff>180975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9</xdr:row>
          <xdr:rowOff>142875</xdr:rowOff>
        </xdr:from>
        <xdr:to>
          <xdr:col>7</xdr:col>
          <xdr:colOff>1190625</xdr:colOff>
          <xdr:row>10</xdr:row>
          <xdr:rowOff>161925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10</xdr:row>
          <xdr:rowOff>142875</xdr:rowOff>
        </xdr:from>
        <xdr:to>
          <xdr:col>7</xdr:col>
          <xdr:colOff>1209675</xdr:colOff>
          <xdr:row>11</xdr:row>
          <xdr:rowOff>180975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11</xdr:row>
          <xdr:rowOff>152400</xdr:rowOff>
        </xdr:from>
        <xdr:to>
          <xdr:col>7</xdr:col>
          <xdr:colOff>1219200</xdr:colOff>
          <xdr:row>12</xdr:row>
          <xdr:rowOff>171450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12</xdr:row>
          <xdr:rowOff>171450</xdr:rowOff>
        </xdr:from>
        <xdr:to>
          <xdr:col>7</xdr:col>
          <xdr:colOff>1181100</xdr:colOff>
          <xdr:row>14</xdr:row>
          <xdr:rowOff>0</xdr:rowOff>
        </xdr:to>
        <xdr:sp macro="" textlink="">
          <xdr:nvSpPr>
            <xdr:cNvPr id="31751" name="Check Box 7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13</xdr:row>
          <xdr:rowOff>161925</xdr:rowOff>
        </xdr:from>
        <xdr:to>
          <xdr:col>7</xdr:col>
          <xdr:colOff>1190625</xdr:colOff>
          <xdr:row>14</xdr:row>
          <xdr:rowOff>171450</xdr:rowOff>
        </xdr:to>
        <xdr:sp macro="" textlink="">
          <xdr:nvSpPr>
            <xdr:cNvPr id="31752" name="Check Box 8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14</xdr:row>
          <xdr:rowOff>152400</xdr:rowOff>
        </xdr:from>
        <xdr:to>
          <xdr:col>8</xdr:col>
          <xdr:colOff>228600</xdr:colOff>
          <xdr:row>15</xdr:row>
          <xdr:rowOff>171450</xdr:rowOff>
        </xdr:to>
        <xdr:sp macro="" textlink="">
          <xdr:nvSpPr>
            <xdr:cNvPr id="31753" name="Check Box 9" hidden="1">
              <a:extLst>
                <a:ext uri="{63B3BB69-23CF-44E3-9099-C40C66FF867C}">
                  <a14:compatExt spid="_x0000_s3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15</xdr:row>
          <xdr:rowOff>180975</xdr:rowOff>
        </xdr:from>
        <xdr:to>
          <xdr:col>7</xdr:col>
          <xdr:colOff>1209675</xdr:colOff>
          <xdr:row>17</xdr:row>
          <xdr:rowOff>9525</xdr:rowOff>
        </xdr:to>
        <xdr:sp macro="" textlink="">
          <xdr:nvSpPr>
            <xdr:cNvPr id="31754" name="Check Box 10" hidden="1">
              <a:extLst>
                <a:ext uri="{63B3BB69-23CF-44E3-9099-C40C66FF867C}">
                  <a14:compatExt spid="_x0000_s3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16</xdr:row>
          <xdr:rowOff>171450</xdr:rowOff>
        </xdr:from>
        <xdr:to>
          <xdr:col>7</xdr:col>
          <xdr:colOff>1238250</xdr:colOff>
          <xdr:row>17</xdr:row>
          <xdr:rowOff>171450</xdr:rowOff>
        </xdr:to>
        <xdr:sp macro="" textlink="">
          <xdr:nvSpPr>
            <xdr:cNvPr id="31755" name="Check Box 11" hidden="1">
              <a:extLst>
                <a:ext uri="{63B3BB69-23CF-44E3-9099-C40C66FF867C}">
                  <a14:compatExt spid="_x0000_s3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17</xdr:row>
          <xdr:rowOff>161925</xdr:rowOff>
        </xdr:from>
        <xdr:to>
          <xdr:col>7</xdr:col>
          <xdr:colOff>1209675</xdr:colOff>
          <xdr:row>18</xdr:row>
          <xdr:rowOff>171450</xdr:rowOff>
        </xdr:to>
        <xdr:sp macro="" textlink="">
          <xdr:nvSpPr>
            <xdr:cNvPr id="31756" name="Check Box 12" hidden="1">
              <a:extLst>
                <a:ext uri="{63B3BB69-23CF-44E3-9099-C40C66FF867C}">
                  <a14:compatExt spid="_x0000_s3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18</xdr:row>
          <xdr:rowOff>171450</xdr:rowOff>
        </xdr:from>
        <xdr:to>
          <xdr:col>7</xdr:col>
          <xdr:colOff>1181100</xdr:colOff>
          <xdr:row>19</xdr:row>
          <xdr:rowOff>180975</xdr:rowOff>
        </xdr:to>
        <xdr:sp macro="" textlink="">
          <xdr:nvSpPr>
            <xdr:cNvPr id="31757" name="Check Box 13" hidden="1">
              <a:extLst>
                <a:ext uri="{63B3BB69-23CF-44E3-9099-C40C66FF867C}">
                  <a14:compatExt spid="_x0000_s3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20</xdr:row>
          <xdr:rowOff>0</xdr:rowOff>
        </xdr:from>
        <xdr:to>
          <xdr:col>7</xdr:col>
          <xdr:colOff>1152525</xdr:colOff>
          <xdr:row>21</xdr:row>
          <xdr:rowOff>0</xdr:rowOff>
        </xdr:to>
        <xdr:sp macro="" textlink="">
          <xdr:nvSpPr>
            <xdr:cNvPr id="31758" name="Check Box 14" hidden="1">
              <a:extLst>
                <a:ext uri="{63B3BB69-23CF-44E3-9099-C40C66FF867C}">
                  <a14:compatExt spid="_x0000_s3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20</xdr:row>
          <xdr:rowOff>152400</xdr:rowOff>
        </xdr:from>
        <xdr:to>
          <xdr:col>7</xdr:col>
          <xdr:colOff>1181100</xdr:colOff>
          <xdr:row>21</xdr:row>
          <xdr:rowOff>171450</xdr:rowOff>
        </xdr:to>
        <xdr:sp macro="" textlink="">
          <xdr:nvSpPr>
            <xdr:cNvPr id="31759" name="Check Box 15" hidden="1">
              <a:extLst>
                <a:ext uri="{63B3BB69-23CF-44E3-9099-C40C66FF867C}">
                  <a14:compatExt spid="_x0000_s3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21</xdr:row>
          <xdr:rowOff>152400</xdr:rowOff>
        </xdr:from>
        <xdr:to>
          <xdr:col>7</xdr:col>
          <xdr:colOff>1209675</xdr:colOff>
          <xdr:row>23</xdr:row>
          <xdr:rowOff>0</xdr:rowOff>
        </xdr:to>
        <xdr:sp macro="" textlink="">
          <xdr:nvSpPr>
            <xdr:cNvPr id="31760" name="Check Box 16" hidden="1">
              <a:extLst>
                <a:ext uri="{63B3BB69-23CF-44E3-9099-C40C66FF867C}">
                  <a14:compatExt spid="_x0000_s3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22</xdr:row>
          <xdr:rowOff>152400</xdr:rowOff>
        </xdr:from>
        <xdr:to>
          <xdr:col>7</xdr:col>
          <xdr:colOff>1209675</xdr:colOff>
          <xdr:row>23</xdr:row>
          <xdr:rowOff>180975</xdr:rowOff>
        </xdr:to>
        <xdr:sp macro="" textlink="">
          <xdr:nvSpPr>
            <xdr:cNvPr id="31761" name="Check Box 17" hidden="1">
              <a:extLst>
                <a:ext uri="{63B3BB69-23CF-44E3-9099-C40C66FF867C}">
                  <a14:compatExt spid="_x0000_s3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23</xdr:row>
          <xdr:rowOff>171450</xdr:rowOff>
        </xdr:from>
        <xdr:to>
          <xdr:col>7</xdr:col>
          <xdr:colOff>1209675</xdr:colOff>
          <xdr:row>25</xdr:row>
          <xdr:rowOff>0</xdr:rowOff>
        </xdr:to>
        <xdr:sp macro="" textlink="">
          <xdr:nvSpPr>
            <xdr:cNvPr id="31762" name="Check Box 18" hidden="1">
              <a:extLst>
                <a:ext uri="{63B3BB69-23CF-44E3-9099-C40C66FF867C}">
                  <a14:compatExt spid="_x0000_s3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24</xdr:row>
          <xdr:rowOff>161925</xdr:rowOff>
        </xdr:from>
        <xdr:to>
          <xdr:col>7</xdr:col>
          <xdr:colOff>1190625</xdr:colOff>
          <xdr:row>25</xdr:row>
          <xdr:rowOff>171450</xdr:rowOff>
        </xdr:to>
        <xdr:sp macro="" textlink="">
          <xdr:nvSpPr>
            <xdr:cNvPr id="31763" name="Check Box 19" hidden="1">
              <a:extLst>
                <a:ext uri="{63B3BB69-23CF-44E3-9099-C40C66FF867C}">
                  <a14:compatExt spid="_x0000_s3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25</xdr:row>
          <xdr:rowOff>171450</xdr:rowOff>
        </xdr:from>
        <xdr:to>
          <xdr:col>7</xdr:col>
          <xdr:colOff>1171575</xdr:colOff>
          <xdr:row>26</xdr:row>
          <xdr:rowOff>180975</xdr:rowOff>
        </xdr:to>
        <xdr:sp macro="" textlink="">
          <xdr:nvSpPr>
            <xdr:cNvPr id="31764" name="Check Box 20" hidden="1">
              <a:extLst>
                <a:ext uri="{63B3BB69-23CF-44E3-9099-C40C66FF867C}">
                  <a14:compatExt spid="_x0000_s3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5</xdr:row>
          <xdr:rowOff>171450</xdr:rowOff>
        </xdr:from>
        <xdr:to>
          <xdr:col>7</xdr:col>
          <xdr:colOff>1304925</xdr:colOff>
          <xdr:row>6</xdr:row>
          <xdr:rowOff>180975</xdr:rowOff>
        </xdr:to>
        <xdr:sp macro="" textlink="">
          <xdr:nvSpPr>
            <xdr:cNvPr id="31765" name="Check Box 21" hidden="1">
              <a:extLst>
                <a:ext uri="{63B3BB69-23CF-44E3-9099-C40C66FF867C}">
                  <a14:compatExt spid="_x0000_s3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4</xdr:row>
          <xdr:rowOff>152400</xdr:rowOff>
        </xdr:from>
        <xdr:to>
          <xdr:col>7</xdr:col>
          <xdr:colOff>1276350</xdr:colOff>
          <xdr:row>5</xdr:row>
          <xdr:rowOff>180975</xdr:rowOff>
        </xdr:to>
        <xdr:sp macro="" textlink="">
          <xdr:nvSpPr>
            <xdr:cNvPr id="31766" name="Check Box 22" hidden="1">
              <a:extLst>
                <a:ext uri="{63B3BB69-23CF-44E3-9099-C40C66FF867C}">
                  <a14:compatExt spid="_x0000_s3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5</xdr:row>
          <xdr:rowOff>171450</xdr:rowOff>
        </xdr:from>
        <xdr:to>
          <xdr:col>8</xdr:col>
          <xdr:colOff>1543050</xdr:colOff>
          <xdr:row>7</xdr:row>
          <xdr:rowOff>0</xdr:rowOff>
        </xdr:to>
        <xdr:sp macro="" textlink="">
          <xdr:nvSpPr>
            <xdr:cNvPr id="31767" name="Check Box 23" hidden="1">
              <a:extLst>
                <a:ext uri="{63B3BB69-23CF-44E3-9099-C40C66FF867C}">
                  <a14:compatExt spid="_x0000_s31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6</xdr:row>
          <xdr:rowOff>180975</xdr:rowOff>
        </xdr:from>
        <xdr:to>
          <xdr:col>8</xdr:col>
          <xdr:colOff>1543050</xdr:colOff>
          <xdr:row>8</xdr:row>
          <xdr:rowOff>9525</xdr:rowOff>
        </xdr:to>
        <xdr:sp macro="" textlink="">
          <xdr:nvSpPr>
            <xdr:cNvPr id="31768" name="Check Box 24" hidden="1">
              <a:extLst>
                <a:ext uri="{63B3BB69-23CF-44E3-9099-C40C66FF867C}">
                  <a14:compatExt spid="_x0000_s3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7</xdr:row>
          <xdr:rowOff>171450</xdr:rowOff>
        </xdr:from>
        <xdr:to>
          <xdr:col>8</xdr:col>
          <xdr:colOff>1543050</xdr:colOff>
          <xdr:row>9</xdr:row>
          <xdr:rowOff>0</xdr:rowOff>
        </xdr:to>
        <xdr:sp macro="" textlink="">
          <xdr:nvSpPr>
            <xdr:cNvPr id="31769" name="Check Box 25" hidden="1">
              <a:extLst>
                <a:ext uri="{63B3BB69-23CF-44E3-9099-C40C66FF867C}">
                  <a14:compatExt spid="_x0000_s3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9</xdr:row>
          <xdr:rowOff>0</xdr:rowOff>
        </xdr:from>
        <xdr:to>
          <xdr:col>8</xdr:col>
          <xdr:colOff>1543050</xdr:colOff>
          <xdr:row>10</xdr:row>
          <xdr:rowOff>19050</xdr:rowOff>
        </xdr:to>
        <xdr:sp macro="" textlink="">
          <xdr:nvSpPr>
            <xdr:cNvPr id="31770" name="Check Box 26" hidden="1">
              <a:extLst>
                <a:ext uri="{63B3BB69-23CF-44E3-9099-C40C66FF867C}">
                  <a14:compatExt spid="_x0000_s3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10</xdr:row>
          <xdr:rowOff>180975</xdr:rowOff>
        </xdr:from>
        <xdr:to>
          <xdr:col>8</xdr:col>
          <xdr:colOff>1543050</xdr:colOff>
          <xdr:row>12</xdr:row>
          <xdr:rowOff>0</xdr:rowOff>
        </xdr:to>
        <xdr:sp macro="" textlink="">
          <xdr:nvSpPr>
            <xdr:cNvPr id="31771" name="Check Box 27" hidden="1">
              <a:extLst>
                <a:ext uri="{63B3BB69-23CF-44E3-9099-C40C66FF867C}">
                  <a14:compatExt spid="_x0000_s3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11</xdr:row>
          <xdr:rowOff>180975</xdr:rowOff>
        </xdr:from>
        <xdr:to>
          <xdr:col>8</xdr:col>
          <xdr:colOff>1543050</xdr:colOff>
          <xdr:row>13</xdr:row>
          <xdr:rowOff>9525</xdr:rowOff>
        </xdr:to>
        <xdr:sp macro="" textlink="">
          <xdr:nvSpPr>
            <xdr:cNvPr id="31772" name="Check Box 28" hidden="1">
              <a:extLst>
                <a:ext uri="{63B3BB69-23CF-44E3-9099-C40C66FF867C}">
                  <a14:compatExt spid="_x0000_s3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12</xdr:row>
          <xdr:rowOff>171450</xdr:rowOff>
        </xdr:from>
        <xdr:to>
          <xdr:col>8</xdr:col>
          <xdr:colOff>1543050</xdr:colOff>
          <xdr:row>14</xdr:row>
          <xdr:rowOff>0</xdr:rowOff>
        </xdr:to>
        <xdr:sp macro="" textlink="">
          <xdr:nvSpPr>
            <xdr:cNvPr id="31773" name="Check Box 29" hidden="1">
              <a:extLst>
                <a:ext uri="{63B3BB69-23CF-44E3-9099-C40C66FF867C}">
                  <a14:compatExt spid="_x0000_s3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13</xdr:row>
          <xdr:rowOff>180975</xdr:rowOff>
        </xdr:from>
        <xdr:to>
          <xdr:col>8</xdr:col>
          <xdr:colOff>1543050</xdr:colOff>
          <xdr:row>15</xdr:row>
          <xdr:rowOff>9525</xdr:rowOff>
        </xdr:to>
        <xdr:sp macro="" textlink="">
          <xdr:nvSpPr>
            <xdr:cNvPr id="31774" name="Check Box 30" hidden="1">
              <a:extLst>
                <a:ext uri="{63B3BB69-23CF-44E3-9099-C40C66FF867C}">
                  <a14:compatExt spid="_x0000_s3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14</xdr:row>
          <xdr:rowOff>161925</xdr:rowOff>
        </xdr:from>
        <xdr:to>
          <xdr:col>8</xdr:col>
          <xdr:colOff>1543050</xdr:colOff>
          <xdr:row>15</xdr:row>
          <xdr:rowOff>180975</xdr:rowOff>
        </xdr:to>
        <xdr:sp macro="" textlink="">
          <xdr:nvSpPr>
            <xdr:cNvPr id="31775" name="Check Box 31" hidden="1">
              <a:extLst>
                <a:ext uri="{63B3BB69-23CF-44E3-9099-C40C66FF867C}">
                  <a14:compatExt spid="_x0000_s3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15</xdr:row>
          <xdr:rowOff>161925</xdr:rowOff>
        </xdr:from>
        <xdr:to>
          <xdr:col>8</xdr:col>
          <xdr:colOff>1543050</xdr:colOff>
          <xdr:row>16</xdr:row>
          <xdr:rowOff>180975</xdr:rowOff>
        </xdr:to>
        <xdr:sp macro="" textlink="">
          <xdr:nvSpPr>
            <xdr:cNvPr id="31776" name="Check Box 32" hidden="1">
              <a:extLst>
                <a:ext uri="{63B3BB69-23CF-44E3-9099-C40C66FF867C}">
                  <a14:compatExt spid="_x0000_s3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17</xdr:row>
          <xdr:rowOff>0</xdr:rowOff>
        </xdr:from>
        <xdr:to>
          <xdr:col>8</xdr:col>
          <xdr:colOff>1543050</xdr:colOff>
          <xdr:row>18</xdr:row>
          <xdr:rowOff>19050</xdr:rowOff>
        </xdr:to>
        <xdr:sp macro="" textlink="">
          <xdr:nvSpPr>
            <xdr:cNvPr id="31777" name="Check Box 33" hidden="1">
              <a:extLst>
                <a:ext uri="{63B3BB69-23CF-44E3-9099-C40C66FF867C}">
                  <a14:compatExt spid="_x0000_s3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17</xdr:row>
          <xdr:rowOff>180975</xdr:rowOff>
        </xdr:from>
        <xdr:to>
          <xdr:col>8</xdr:col>
          <xdr:colOff>1543050</xdr:colOff>
          <xdr:row>19</xdr:row>
          <xdr:rowOff>9525</xdr:rowOff>
        </xdr:to>
        <xdr:sp macro="" textlink="">
          <xdr:nvSpPr>
            <xdr:cNvPr id="31778" name="Check Box 34" hidden="1">
              <a:extLst>
                <a:ext uri="{63B3BB69-23CF-44E3-9099-C40C66FF867C}">
                  <a14:compatExt spid="_x0000_s3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18</xdr:row>
          <xdr:rowOff>171450</xdr:rowOff>
        </xdr:from>
        <xdr:to>
          <xdr:col>8</xdr:col>
          <xdr:colOff>1543050</xdr:colOff>
          <xdr:row>20</xdr:row>
          <xdr:rowOff>0</xdr:rowOff>
        </xdr:to>
        <xdr:sp macro="" textlink="">
          <xdr:nvSpPr>
            <xdr:cNvPr id="31779" name="Check Box 35" hidden="1">
              <a:extLst>
                <a:ext uri="{63B3BB69-23CF-44E3-9099-C40C66FF867C}">
                  <a14:compatExt spid="_x0000_s3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19</xdr:row>
          <xdr:rowOff>161925</xdr:rowOff>
        </xdr:from>
        <xdr:to>
          <xdr:col>8</xdr:col>
          <xdr:colOff>1543050</xdr:colOff>
          <xdr:row>20</xdr:row>
          <xdr:rowOff>180975</xdr:rowOff>
        </xdr:to>
        <xdr:sp macro="" textlink="">
          <xdr:nvSpPr>
            <xdr:cNvPr id="31780" name="Check Box 36" hidden="1">
              <a:extLst>
                <a:ext uri="{63B3BB69-23CF-44E3-9099-C40C66FF867C}">
                  <a14:compatExt spid="_x0000_s3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20</xdr:row>
          <xdr:rowOff>171450</xdr:rowOff>
        </xdr:from>
        <xdr:to>
          <xdr:col>8</xdr:col>
          <xdr:colOff>1543050</xdr:colOff>
          <xdr:row>22</xdr:row>
          <xdr:rowOff>0</xdr:rowOff>
        </xdr:to>
        <xdr:sp macro="" textlink="">
          <xdr:nvSpPr>
            <xdr:cNvPr id="31781" name="Check Box 37" hidden="1">
              <a:extLst>
                <a:ext uri="{63B3BB69-23CF-44E3-9099-C40C66FF867C}">
                  <a14:compatExt spid="_x0000_s3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21</xdr:row>
          <xdr:rowOff>161925</xdr:rowOff>
        </xdr:from>
        <xdr:to>
          <xdr:col>8</xdr:col>
          <xdr:colOff>1543050</xdr:colOff>
          <xdr:row>22</xdr:row>
          <xdr:rowOff>180975</xdr:rowOff>
        </xdr:to>
        <xdr:sp macro="" textlink="">
          <xdr:nvSpPr>
            <xdr:cNvPr id="31782" name="Check Box 38" hidden="1">
              <a:extLst>
                <a:ext uri="{63B3BB69-23CF-44E3-9099-C40C66FF867C}">
                  <a14:compatExt spid="_x0000_s3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22</xdr:row>
          <xdr:rowOff>161925</xdr:rowOff>
        </xdr:from>
        <xdr:to>
          <xdr:col>8</xdr:col>
          <xdr:colOff>1543050</xdr:colOff>
          <xdr:row>23</xdr:row>
          <xdr:rowOff>180975</xdr:rowOff>
        </xdr:to>
        <xdr:sp macro="" textlink="">
          <xdr:nvSpPr>
            <xdr:cNvPr id="31783" name="Check Box 39" hidden="1">
              <a:extLst>
                <a:ext uri="{63B3BB69-23CF-44E3-9099-C40C66FF867C}">
                  <a14:compatExt spid="_x0000_s3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23</xdr:row>
          <xdr:rowOff>161925</xdr:rowOff>
        </xdr:from>
        <xdr:to>
          <xdr:col>8</xdr:col>
          <xdr:colOff>1543050</xdr:colOff>
          <xdr:row>24</xdr:row>
          <xdr:rowOff>180975</xdr:rowOff>
        </xdr:to>
        <xdr:sp macro="" textlink="">
          <xdr:nvSpPr>
            <xdr:cNvPr id="31784" name="Check Box 40" hidden="1">
              <a:extLst>
                <a:ext uri="{63B3BB69-23CF-44E3-9099-C40C66FF867C}">
                  <a14:compatExt spid="_x0000_s3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25</xdr:row>
          <xdr:rowOff>0</xdr:rowOff>
        </xdr:from>
        <xdr:to>
          <xdr:col>8</xdr:col>
          <xdr:colOff>1543050</xdr:colOff>
          <xdr:row>26</xdr:row>
          <xdr:rowOff>19050</xdr:rowOff>
        </xdr:to>
        <xdr:sp macro="" textlink="">
          <xdr:nvSpPr>
            <xdr:cNvPr id="31785" name="Check Box 41" hidden="1">
              <a:extLst>
                <a:ext uri="{63B3BB69-23CF-44E3-9099-C40C66FF867C}">
                  <a14:compatExt spid="_x0000_s3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26</xdr:row>
          <xdr:rowOff>9525</xdr:rowOff>
        </xdr:from>
        <xdr:to>
          <xdr:col>8</xdr:col>
          <xdr:colOff>1543050</xdr:colOff>
          <xdr:row>27</xdr:row>
          <xdr:rowOff>28575</xdr:rowOff>
        </xdr:to>
        <xdr:sp macro="" textlink="">
          <xdr:nvSpPr>
            <xdr:cNvPr id="31786" name="Check Box 42" hidden="1">
              <a:extLst>
                <a:ext uri="{63B3BB69-23CF-44E3-9099-C40C66FF867C}">
                  <a14:compatExt spid="_x0000_s3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4</xdr:row>
          <xdr:rowOff>171450</xdr:rowOff>
        </xdr:from>
        <xdr:to>
          <xdr:col>8</xdr:col>
          <xdr:colOff>1590675</xdr:colOff>
          <xdr:row>6</xdr:row>
          <xdr:rowOff>0</xdr:rowOff>
        </xdr:to>
        <xdr:sp macro="" textlink="">
          <xdr:nvSpPr>
            <xdr:cNvPr id="31787" name="Check Box 43" hidden="1">
              <a:extLst>
                <a:ext uri="{63B3BB69-23CF-44E3-9099-C40C66FF867C}">
                  <a14:compatExt spid="_x0000_s3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3</xdr:row>
          <xdr:rowOff>161925</xdr:rowOff>
        </xdr:from>
        <xdr:to>
          <xdr:col>8</xdr:col>
          <xdr:colOff>1714500</xdr:colOff>
          <xdr:row>5</xdr:row>
          <xdr:rowOff>9525</xdr:rowOff>
        </xdr:to>
        <xdr:sp macro="" textlink="">
          <xdr:nvSpPr>
            <xdr:cNvPr id="31788" name="Check Box 44" hidden="1">
              <a:extLst>
                <a:ext uri="{63B3BB69-23CF-44E3-9099-C40C66FF867C}">
                  <a14:compatExt spid="_x0000_s3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3</xdr:row>
          <xdr:rowOff>180975</xdr:rowOff>
        </xdr:from>
        <xdr:to>
          <xdr:col>10</xdr:col>
          <xdr:colOff>552450</xdr:colOff>
          <xdr:row>5</xdr:row>
          <xdr:rowOff>19050</xdr:rowOff>
        </xdr:to>
        <xdr:sp macro="" textlink="">
          <xdr:nvSpPr>
            <xdr:cNvPr id="31807" name="Check Box 63" hidden="1">
              <a:extLst>
                <a:ext uri="{63B3BB69-23CF-44E3-9099-C40C66FF867C}">
                  <a14:compatExt spid="_x0000_s3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3</xdr:row>
          <xdr:rowOff>152400</xdr:rowOff>
        </xdr:from>
        <xdr:to>
          <xdr:col>7</xdr:col>
          <xdr:colOff>1276350</xdr:colOff>
          <xdr:row>4</xdr:row>
          <xdr:rowOff>180975</xdr:rowOff>
        </xdr:to>
        <xdr:sp macro="" textlink="">
          <xdr:nvSpPr>
            <xdr:cNvPr id="31811" name="Check Box 67" hidden="1">
              <a:extLst>
                <a:ext uri="{63B3BB69-23CF-44E3-9099-C40C66FF867C}">
                  <a14:compatExt spid="_x0000_s3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9</xdr:row>
          <xdr:rowOff>171450</xdr:rowOff>
        </xdr:from>
        <xdr:to>
          <xdr:col>8</xdr:col>
          <xdr:colOff>1543050</xdr:colOff>
          <xdr:row>11</xdr:row>
          <xdr:rowOff>0</xdr:rowOff>
        </xdr:to>
        <xdr:sp macro="" textlink="">
          <xdr:nvSpPr>
            <xdr:cNvPr id="31812" name="Check Box 68" hidden="1">
              <a:extLst>
                <a:ext uri="{63B3BB69-23CF-44E3-9099-C40C66FF867C}">
                  <a14:compatExt spid="_x0000_s3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27</xdr:row>
          <xdr:rowOff>19050</xdr:rowOff>
        </xdr:from>
        <xdr:to>
          <xdr:col>7</xdr:col>
          <xdr:colOff>1143000</xdr:colOff>
          <xdr:row>28</xdr:row>
          <xdr:rowOff>19050</xdr:rowOff>
        </xdr:to>
        <xdr:sp macro="" textlink="">
          <xdr:nvSpPr>
            <xdr:cNvPr id="31814" name="Check Box 70" hidden="1">
              <a:extLst>
                <a:ext uri="{63B3BB69-23CF-44E3-9099-C40C66FF867C}">
                  <a14:compatExt spid="_x0000_s3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28</xdr:row>
          <xdr:rowOff>0</xdr:rowOff>
        </xdr:from>
        <xdr:to>
          <xdr:col>7</xdr:col>
          <xdr:colOff>1162050</xdr:colOff>
          <xdr:row>29</xdr:row>
          <xdr:rowOff>19050</xdr:rowOff>
        </xdr:to>
        <xdr:sp macro="" textlink="">
          <xdr:nvSpPr>
            <xdr:cNvPr id="31815" name="Check Box 71" hidden="1">
              <a:extLst>
                <a:ext uri="{63B3BB69-23CF-44E3-9099-C40C66FF867C}">
                  <a14:compatExt spid="_x0000_s3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28</xdr:row>
          <xdr:rowOff>171450</xdr:rowOff>
        </xdr:from>
        <xdr:to>
          <xdr:col>7</xdr:col>
          <xdr:colOff>1200150</xdr:colOff>
          <xdr:row>30</xdr:row>
          <xdr:rowOff>19050</xdr:rowOff>
        </xdr:to>
        <xdr:sp macro="" textlink="">
          <xdr:nvSpPr>
            <xdr:cNvPr id="31816" name="Check Box 72" hidden="1">
              <a:extLst>
                <a:ext uri="{63B3BB69-23CF-44E3-9099-C40C66FF867C}">
                  <a14:compatExt spid="_x0000_s3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29</xdr:row>
          <xdr:rowOff>171450</xdr:rowOff>
        </xdr:from>
        <xdr:to>
          <xdr:col>7</xdr:col>
          <xdr:colOff>1200150</xdr:colOff>
          <xdr:row>31</xdr:row>
          <xdr:rowOff>9525</xdr:rowOff>
        </xdr:to>
        <xdr:sp macro="" textlink="">
          <xdr:nvSpPr>
            <xdr:cNvPr id="31817" name="Check Box 73" hidden="1">
              <a:extLst>
                <a:ext uri="{63B3BB69-23CF-44E3-9099-C40C66FF867C}">
                  <a14:compatExt spid="_x0000_s3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31</xdr:row>
          <xdr:rowOff>0</xdr:rowOff>
        </xdr:from>
        <xdr:to>
          <xdr:col>7</xdr:col>
          <xdr:colOff>1200150</xdr:colOff>
          <xdr:row>32</xdr:row>
          <xdr:rowOff>19050</xdr:rowOff>
        </xdr:to>
        <xdr:sp macro="" textlink="">
          <xdr:nvSpPr>
            <xdr:cNvPr id="31818" name="Check Box 74" hidden="1">
              <a:extLst>
                <a:ext uri="{63B3BB69-23CF-44E3-9099-C40C66FF867C}">
                  <a14:compatExt spid="_x0000_s3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31</xdr:row>
          <xdr:rowOff>180975</xdr:rowOff>
        </xdr:from>
        <xdr:to>
          <xdr:col>7</xdr:col>
          <xdr:colOff>1181100</xdr:colOff>
          <xdr:row>33</xdr:row>
          <xdr:rowOff>0</xdr:rowOff>
        </xdr:to>
        <xdr:sp macro="" textlink="">
          <xdr:nvSpPr>
            <xdr:cNvPr id="31819" name="Check Box 75" hidden="1">
              <a:extLst>
                <a:ext uri="{63B3BB69-23CF-44E3-9099-C40C66FF867C}">
                  <a14:compatExt spid="_x0000_s3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32</xdr:row>
          <xdr:rowOff>171450</xdr:rowOff>
        </xdr:from>
        <xdr:to>
          <xdr:col>7</xdr:col>
          <xdr:colOff>1162050</xdr:colOff>
          <xdr:row>33</xdr:row>
          <xdr:rowOff>180975</xdr:rowOff>
        </xdr:to>
        <xdr:sp macro="" textlink="">
          <xdr:nvSpPr>
            <xdr:cNvPr id="31820" name="Check Box 76" hidden="1">
              <a:extLst>
                <a:ext uri="{63B3BB69-23CF-44E3-9099-C40C66FF867C}">
                  <a14:compatExt spid="_x0000_s3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26</xdr:row>
          <xdr:rowOff>180975</xdr:rowOff>
        </xdr:from>
        <xdr:to>
          <xdr:col>8</xdr:col>
          <xdr:colOff>1533525</xdr:colOff>
          <xdr:row>28</xdr:row>
          <xdr:rowOff>9525</xdr:rowOff>
        </xdr:to>
        <xdr:sp macro="" textlink="">
          <xdr:nvSpPr>
            <xdr:cNvPr id="31821" name="Check Box 77" hidden="1">
              <a:extLst>
                <a:ext uri="{63B3BB69-23CF-44E3-9099-C40C66FF867C}">
                  <a14:compatExt spid="_x0000_s3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28</xdr:row>
          <xdr:rowOff>0</xdr:rowOff>
        </xdr:from>
        <xdr:to>
          <xdr:col>8</xdr:col>
          <xdr:colOff>1533525</xdr:colOff>
          <xdr:row>29</xdr:row>
          <xdr:rowOff>19050</xdr:rowOff>
        </xdr:to>
        <xdr:sp macro="" textlink="">
          <xdr:nvSpPr>
            <xdr:cNvPr id="31822" name="Check Box 78" hidden="1">
              <a:extLst>
                <a:ext uri="{63B3BB69-23CF-44E3-9099-C40C66FF867C}">
                  <a14:compatExt spid="_x0000_s3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28</xdr:row>
          <xdr:rowOff>180975</xdr:rowOff>
        </xdr:from>
        <xdr:to>
          <xdr:col>8</xdr:col>
          <xdr:colOff>1533525</xdr:colOff>
          <xdr:row>30</xdr:row>
          <xdr:rowOff>9525</xdr:rowOff>
        </xdr:to>
        <xdr:sp macro="" textlink="">
          <xdr:nvSpPr>
            <xdr:cNvPr id="31823" name="Check Box 79" hidden="1">
              <a:extLst>
                <a:ext uri="{63B3BB69-23CF-44E3-9099-C40C66FF867C}">
                  <a14:compatExt spid="_x0000_s3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29</xdr:row>
          <xdr:rowOff>180975</xdr:rowOff>
        </xdr:from>
        <xdr:to>
          <xdr:col>8</xdr:col>
          <xdr:colOff>1533525</xdr:colOff>
          <xdr:row>31</xdr:row>
          <xdr:rowOff>9525</xdr:rowOff>
        </xdr:to>
        <xdr:sp macro="" textlink="">
          <xdr:nvSpPr>
            <xdr:cNvPr id="31824" name="Check Box 80" hidden="1">
              <a:extLst>
                <a:ext uri="{63B3BB69-23CF-44E3-9099-C40C66FF867C}">
                  <a14:compatExt spid="_x0000_s3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30</xdr:row>
          <xdr:rowOff>180975</xdr:rowOff>
        </xdr:from>
        <xdr:to>
          <xdr:col>8</xdr:col>
          <xdr:colOff>1533525</xdr:colOff>
          <xdr:row>32</xdr:row>
          <xdr:rowOff>9525</xdr:rowOff>
        </xdr:to>
        <xdr:sp macro="" textlink="">
          <xdr:nvSpPr>
            <xdr:cNvPr id="31825" name="Check Box 81" hidden="1">
              <a:extLst>
                <a:ext uri="{63B3BB69-23CF-44E3-9099-C40C66FF867C}">
                  <a14:compatExt spid="_x0000_s3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32</xdr:row>
          <xdr:rowOff>19050</xdr:rowOff>
        </xdr:from>
        <xdr:to>
          <xdr:col>8</xdr:col>
          <xdr:colOff>1533525</xdr:colOff>
          <xdr:row>33</xdr:row>
          <xdr:rowOff>38100</xdr:rowOff>
        </xdr:to>
        <xdr:sp macro="" textlink="">
          <xdr:nvSpPr>
            <xdr:cNvPr id="31826" name="Check Box 82" hidden="1">
              <a:extLst>
                <a:ext uri="{63B3BB69-23CF-44E3-9099-C40C66FF867C}">
                  <a14:compatExt spid="_x0000_s3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33</xdr:row>
          <xdr:rowOff>9525</xdr:rowOff>
        </xdr:from>
        <xdr:to>
          <xdr:col>8</xdr:col>
          <xdr:colOff>1533525</xdr:colOff>
          <xdr:row>34</xdr:row>
          <xdr:rowOff>28575</xdr:rowOff>
        </xdr:to>
        <xdr:sp macro="" textlink="">
          <xdr:nvSpPr>
            <xdr:cNvPr id="31827" name="Check Box 83" hidden="1">
              <a:extLst>
                <a:ext uri="{63B3BB69-23CF-44E3-9099-C40C66FF867C}">
                  <a14:compatExt spid="_x0000_s3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33</xdr:row>
          <xdr:rowOff>152400</xdr:rowOff>
        </xdr:from>
        <xdr:to>
          <xdr:col>7</xdr:col>
          <xdr:colOff>1162050</xdr:colOff>
          <xdr:row>34</xdr:row>
          <xdr:rowOff>161925</xdr:rowOff>
        </xdr:to>
        <xdr:sp macro="" textlink="">
          <xdr:nvSpPr>
            <xdr:cNvPr id="31835" name="Check Box 91" hidden="1">
              <a:extLst>
                <a:ext uri="{63B3BB69-23CF-44E3-9099-C40C66FF867C}">
                  <a14:compatExt spid="_x0000_s3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33</xdr:row>
          <xdr:rowOff>180975</xdr:rowOff>
        </xdr:from>
        <xdr:to>
          <xdr:col>8</xdr:col>
          <xdr:colOff>1533525</xdr:colOff>
          <xdr:row>35</xdr:row>
          <xdr:rowOff>9525</xdr:rowOff>
        </xdr:to>
        <xdr:sp macro="" textlink="">
          <xdr:nvSpPr>
            <xdr:cNvPr id="31836" name="Check Box 92" hidden="1">
              <a:extLst>
                <a:ext uri="{63B3BB69-23CF-44E3-9099-C40C66FF867C}">
                  <a14:compatExt spid="_x0000_s3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4</xdr:row>
          <xdr:rowOff>180975</xdr:rowOff>
        </xdr:from>
        <xdr:to>
          <xdr:col>10</xdr:col>
          <xdr:colOff>552450</xdr:colOff>
          <xdr:row>6</xdr:row>
          <xdr:rowOff>19050</xdr:rowOff>
        </xdr:to>
        <xdr:sp macro="" textlink="">
          <xdr:nvSpPr>
            <xdr:cNvPr id="31838" name="Check Box 94" hidden="1">
              <a:extLst>
                <a:ext uri="{63B3BB69-23CF-44E3-9099-C40C66FF867C}">
                  <a14:compatExt spid="_x0000_s3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5</xdr:row>
          <xdr:rowOff>180975</xdr:rowOff>
        </xdr:from>
        <xdr:to>
          <xdr:col>10</xdr:col>
          <xdr:colOff>552450</xdr:colOff>
          <xdr:row>7</xdr:row>
          <xdr:rowOff>19050</xdr:rowOff>
        </xdr:to>
        <xdr:sp macro="" textlink="">
          <xdr:nvSpPr>
            <xdr:cNvPr id="31839" name="Check Box 95" hidden="1">
              <a:extLst>
                <a:ext uri="{63B3BB69-23CF-44E3-9099-C40C66FF867C}">
                  <a14:compatExt spid="_x0000_s3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6</xdr:row>
          <xdr:rowOff>180975</xdr:rowOff>
        </xdr:from>
        <xdr:to>
          <xdr:col>10</xdr:col>
          <xdr:colOff>552450</xdr:colOff>
          <xdr:row>8</xdr:row>
          <xdr:rowOff>19050</xdr:rowOff>
        </xdr:to>
        <xdr:sp macro="" textlink="">
          <xdr:nvSpPr>
            <xdr:cNvPr id="31840" name="Check Box 96" hidden="1">
              <a:extLst>
                <a:ext uri="{63B3BB69-23CF-44E3-9099-C40C66FF867C}">
                  <a14:compatExt spid="_x0000_s3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7</xdr:row>
          <xdr:rowOff>180975</xdr:rowOff>
        </xdr:from>
        <xdr:to>
          <xdr:col>10</xdr:col>
          <xdr:colOff>552450</xdr:colOff>
          <xdr:row>9</xdr:row>
          <xdr:rowOff>19050</xdr:rowOff>
        </xdr:to>
        <xdr:sp macro="" textlink="">
          <xdr:nvSpPr>
            <xdr:cNvPr id="31841" name="Check Box 97" hidden="1">
              <a:extLst>
                <a:ext uri="{63B3BB69-23CF-44E3-9099-C40C66FF867C}">
                  <a14:compatExt spid="_x0000_s3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8</xdr:row>
          <xdr:rowOff>180975</xdr:rowOff>
        </xdr:from>
        <xdr:to>
          <xdr:col>10</xdr:col>
          <xdr:colOff>552450</xdr:colOff>
          <xdr:row>10</xdr:row>
          <xdr:rowOff>19050</xdr:rowOff>
        </xdr:to>
        <xdr:sp macro="" textlink="">
          <xdr:nvSpPr>
            <xdr:cNvPr id="31842" name="Check Box 98" hidden="1">
              <a:extLst>
                <a:ext uri="{63B3BB69-23CF-44E3-9099-C40C66FF867C}">
                  <a14:compatExt spid="_x0000_s3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9</xdr:row>
          <xdr:rowOff>180975</xdr:rowOff>
        </xdr:from>
        <xdr:to>
          <xdr:col>10</xdr:col>
          <xdr:colOff>552450</xdr:colOff>
          <xdr:row>11</xdr:row>
          <xdr:rowOff>19050</xdr:rowOff>
        </xdr:to>
        <xdr:sp macro="" textlink="">
          <xdr:nvSpPr>
            <xdr:cNvPr id="31843" name="Check Box 99" hidden="1">
              <a:extLst>
                <a:ext uri="{63B3BB69-23CF-44E3-9099-C40C66FF867C}">
                  <a14:compatExt spid="_x0000_s3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10</xdr:row>
          <xdr:rowOff>180975</xdr:rowOff>
        </xdr:from>
        <xdr:to>
          <xdr:col>10</xdr:col>
          <xdr:colOff>552450</xdr:colOff>
          <xdr:row>12</xdr:row>
          <xdr:rowOff>19050</xdr:rowOff>
        </xdr:to>
        <xdr:sp macro="" textlink="">
          <xdr:nvSpPr>
            <xdr:cNvPr id="31844" name="Check Box 100" hidden="1">
              <a:extLst>
                <a:ext uri="{63B3BB69-23CF-44E3-9099-C40C66FF867C}">
                  <a14:compatExt spid="_x0000_s3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11</xdr:row>
          <xdr:rowOff>180975</xdr:rowOff>
        </xdr:from>
        <xdr:to>
          <xdr:col>10</xdr:col>
          <xdr:colOff>552450</xdr:colOff>
          <xdr:row>13</xdr:row>
          <xdr:rowOff>19050</xdr:rowOff>
        </xdr:to>
        <xdr:sp macro="" textlink="">
          <xdr:nvSpPr>
            <xdr:cNvPr id="31845" name="Check Box 101" hidden="1">
              <a:extLst>
                <a:ext uri="{63B3BB69-23CF-44E3-9099-C40C66FF867C}">
                  <a14:compatExt spid="_x0000_s3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12</xdr:row>
          <xdr:rowOff>180975</xdr:rowOff>
        </xdr:from>
        <xdr:to>
          <xdr:col>10</xdr:col>
          <xdr:colOff>552450</xdr:colOff>
          <xdr:row>14</xdr:row>
          <xdr:rowOff>19050</xdr:rowOff>
        </xdr:to>
        <xdr:sp macro="" textlink="">
          <xdr:nvSpPr>
            <xdr:cNvPr id="31846" name="Check Box 102" hidden="1">
              <a:extLst>
                <a:ext uri="{63B3BB69-23CF-44E3-9099-C40C66FF867C}">
                  <a14:compatExt spid="_x0000_s3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13</xdr:row>
          <xdr:rowOff>180975</xdr:rowOff>
        </xdr:from>
        <xdr:to>
          <xdr:col>10</xdr:col>
          <xdr:colOff>552450</xdr:colOff>
          <xdr:row>15</xdr:row>
          <xdr:rowOff>19050</xdr:rowOff>
        </xdr:to>
        <xdr:sp macro="" textlink="">
          <xdr:nvSpPr>
            <xdr:cNvPr id="31847" name="Check Box 103" hidden="1">
              <a:extLst>
                <a:ext uri="{63B3BB69-23CF-44E3-9099-C40C66FF867C}">
                  <a14:compatExt spid="_x0000_s3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14</xdr:row>
          <xdr:rowOff>180975</xdr:rowOff>
        </xdr:from>
        <xdr:to>
          <xdr:col>10</xdr:col>
          <xdr:colOff>552450</xdr:colOff>
          <xdr:row>16</xdr:row>
          <xdr:rowOff>19050</xdr:rowOff>
        </xdr:to>
        <xdr:sp macro="" textlink="">
          <xdr:nvSpPr>
            <xdr:cNvPr id="31848" name="Check Box 104" hidden="1">
              <a:extLst>
                <a:ext uri="{63B3BB69-23CF-44E3-9099-C40C66FF867C}">
                  <a14:compatExt spid="_x0000_s3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15</xdr:row>
          <xdr:rowOff>180975</xdr:rowOff>
        </xdr:from>
        <xdr:to>
          <xdr:col>10</xdr:col>
          <xdr:colOff>552450</xdr:colOff>
          <xdr:row>17</xdr:row>
          <xdr:rowOff>19050</xdr:rowOff>
        </xdr:to>
        <xdr:sp macro="" textlink="">
          <xdr:nvSpPr>
            <xdr:cNvPr id="31849" name="Check Box 105" hidden="1">
              <a:extLst>
                <a:ext uri="{63B3BB69-23CF-44E3-9099-C40C66FF867C}">
                  <a14:compatExt spid="_x0000_s3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16</xdr:row>
          <xdr:rowOff>180975</xdr:rowOff>
        </xdr:from>
        <xdr:to>
          <xdr:col>10</xdr:col>
          <xdr:colOff>552450</xdr:colOff>
          <xdr:row>18</xdr:row>
          <xdr:rowOff>19050</xdr:rowOff>
        </xdr:to>
        <xdr:sp macro="" textlink="">
          <xdr:nvSpPr>
            <xdr:cNvPr id="31850" name="Check Box 106" hidden="1">
              <a:extLst>
                <a:ext uri="{63B3BB69-23CF-44E3-9099-C40C66FF867C}">
                  <a14:compatExt spid="_x0000_s3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17</xdr:row>
          <xdr:rowOff>180975</xdr:rowOff>
        </xdr:from>
        <xdr:to>
          <xdr:col>10</xdr:col>
          <xdr:colOff>552450</xdr:colOff>
          <xdr:row>19</xdr:row>
          <xdr:rowOff>19050</xdr:rowOff>
        </xdr:to>
        <xdr:sp macro="" textlink="">
          <xdr:nvSpPr>
            <xdr:cNvPr id="31851" name="Check Box 107" hidden="1">
              <a:extLst>
                <a:ext uri="{63B3BB69-23CF-44E3-9099-C40C66FF867C}">
                  <a14:compatExt spid="_x0000_s3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18</xdr:row>
          <xdr:rowOff>180975</xdr:rowOff>
        </xdr:from>
        <xdr:to>
          <xdr:col>10</xdr:col>
          <xdr:colOff>552450</xdr:colOff>
          <xdr:row>20</xdr:row>
          <xdr:rowOff>19050</xdr:rowOff>
        </xdr:to>
        <xdr:sp macro="" textlink="">
          <xdr:nvSpPr>
            <xdr:cNvPr id="31852" name="Check Box 108" hidden="1">
              <a:extLst>
                <a:ext uri="{63B3BB69-23CF-44E3-9099-C40C66FF867C}">
                  <a14:compatExt spid="_x0000_s3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19</xdr:row>
          <xdr:rowOff>180975</xdr:rowOff>
        </xdr:from>
        <xdr:to>
          <xdr:col>10</xdr:col>
          <xdr:colOff>552450</xdr:colOff>
          <xdr:row>21</xdr:row>
          <xdr:rowOff>19050</xdr:rowOff>
        </xdr:to>
        <xdr:sp macro="" textlink="">
          <xdr:nvSpPr>
            <xdr:cNvPr id="31853" name="Check Box 109" hidden="1">
              <a:extLst>
                <a:ext uri="{63B3BB69-23CF-44E3-9099-C40C66FF867C}">
                  <a14:compatExt spid="_x0000_s3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20</xdr:row>
          <xdr:rowOff>180975</xdr:rowOff>
        </xdr:from>
        <xdr:to>
          <xdr:col>10</xdr:col>
          <xdr:colOff>552450</xdr:colOff>
          <xdr:row>22</xdr:row>
          <xdr:rowOff>19050</xdr:rowOff>
        </xdr:to>
        <xdr:sp macro="" textlink="">
          <xdr:nvSpPr>
            <xdr:cNvPr id="31854" name="Check Box 110" hidden="1">
              <a:extLst>
                <a:ext uri="{63B3BB69-23CF-44E3-9099-C40C66FF867C}">
                  <a14:compatExt spid="_x0000_s3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21</xdr:row>
          <xdr:rowOff>180975</xdr:rowOff>
        </xdr:from>
        <xdr:to>
          <xdr:col>10</xdr:col>
          <xdr:colOff>552450</xdr:colOff>
          <xdr:row>23</xdr:row>
          <xdr:rowOff>19050</xdr:rowOff>
        </xdr:to>
        <xdr:sp macro="" textlink="">
          <xdr:nvSpPr>
            <xdr:cNvPr id="31855" name="Check Box 111" hidden="1">
              <a:extLst>
                <a:ext uri="{63B3BB69-23CF-44E3-9099-C40C66FF867C}">
                  <a14:compatExt spid="_x0000_s3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22</xdr:row>
          <xdr:rowOff>180975</xdr:rowOff>
        </xdr:from>
        <xdr:to>
          <xdr:col>10</xdr:col>
          <xdr:colOff>552450</xdr:colOff>
          <xdr:row>24</xdr:row>
          <xdr:rowOff>19050</xdr:rowOff>
        </xdr:to>
        <xdr:sp macro="" textlink="">
          <xdr:nvSpPr>
            <xdr:cNvPr id="31856" name="Check Box 112" hidden="1">
              <a:extLst>
                <a:ext uri="{63B3BB69-23CF-44E3-9099-C40C66FF867C}">
                  <a14:compatExt spid="_x0000_s3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23</xdr:row>
          <xdr:rowOff>180975</xdr:rowOff>
        </xdr:from>
        <xdr:to>
          <xdr:col>10</xdr:col>
          <xdr:colOff>552450</xdr:colOff>
          <xdr:row>25</xdr:row>
          <xdr:rowOff>19050</xdr:rowOff>
        </xdr:to>
        <xdr:sp macro="" textlink="">
          <xdr:nvSpPr>
            <xdr:cNvPr id="31857" name="Check Box 113" hidden="1">
              <a:extLst>
                <a:ext uri="{63B3BB69-23CF-44E3-9099-C40C66FF867C}">
                  <a14:compatExt spid="_x0000_s3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24</xdr:row>
          <xdr:rowOff>180975</xdr:rowOff>
        </xdr:from>
        <xdr:to>
          <xdr:col>10</xdr:col>
          <xdr:colOff>552450</xdr:colOff>
          <xdr:row>26</xdr:row>
          <xdr:rowOff>19050</xdr:rowOff>
        </xdr:to>
        <xdr:sp macro="" textlink="">
          <xdr:nvSpPr>
            <xdr:cNvPr id="31858" name="Check Box 114" hidden="1">
              <a:extLst>
                <a:ext uri="{63B3BB69-23CF-44E3-9099-C40C66FF867C}">
                  <a14:compatExt spid="_x0000_s3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25</xdr:row>
          <xdr:rowOff>180975</xdr:rowOff>
        </xdr:from>
        <xdr:to>
          <xdr:col>10</xdr:col>
          <xdr:colOff>552450</xdr:colOff>
          <xdr:row>27</xdr:row>
          <xdr:rowOff>19050</xdr:rowOff>
        </xdr:to>
        <xdr:sp macro="" textlink="">
          <xdr:nvSpPr>
            <xdr:cNvPr id="31859" name="Check Box 115" hidden="1">
              <a:extLst>
                <a:ext uri="{63B3BB69-23CF-44E3-9099-C40C66FF867C}">
                  <a14:compatExt spid="_x0000_s3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26</xdr:row>
          <xdr:rowOff>180975</xdr:rowOff>
        </xdr:from>
        <xdr:to>
          <xdr:col>10</xdr:col>
          <xdr:colOff>552450</xdr:colOff>
          <xdr:row>28</xdr:row>
          <xdr:rowOff>19050</xdr:rowOff>
        </xdr:to>
        <xdr:sp macro="" textlink="">
          <xdr:nvSpPr>
            <xdr:cNvPr id="31860" name="Check Box 116" hidden="1">
              <a:extLst>
                <a:ext uri="{63B3BB69-23CF-44E3-9099-C40C66FF867C}">
                  <a14:compatExt spid="_x0000_s3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27</xdr:row>
          <xdr:rowOff>180975</xdr:rowOff>
        </xdr:from>
        <xdr:to>
          <xdr:col>10</xdr:col>
          <xdr:colOff>552450</xdr:colOff>
          <xdr:row>29</xdr:row>
          <xdr:rowOff>19050</xdr:rowOff>
        </xdr:to>
        <xdr:sp macro="" textlink="">
          <xdr:nvSpPr>
            <xdr:cNvPr id="31861" name="Check Box 117" hidden="1">
              <a:extLst>
                <a:ext uri="{63B3BB69-23CF-44E3-9099-C40C66FF867C}">
                  <a14:compatExt spid="_x0000_s3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28</xdr:row>
          <xdr:rowOff>180975</xdr:rowOff>
        </xdr:from>
        <xdr:to>
          <xdr:col>10</xdr:col>
          <xdr:colOff>552450</xdr:colOff>
          <xdr:row>30</xdr:row>
          <xdr:rowOff>19050</xdr:rowOff>
        </xdr:to>
        <xdr:sp macro="" textlink="">
          <xdr:nvSpPr>
            <xdr:cNvPr id="31862" name="Check Box 118" hidden="1">
              <a:extLst>
                <a:ext uri="{63B3BB69-23CF-44E3-9099-C40C66FF867C}">
                  <a14:compatExt spid="_x0000_s3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29</xdr:row>
          <xdr:rowOff>180975</xdr:rowOff>
        </xdr:from>
        <xdr:to>
          <xdr:col>10</xdr:col>
          <xdr:colOff>552450</xdr:colOff>
          <xdr:row>31</xdr:row>
          <xdr:rowOff>19050</xdr:rowOff>
        </xdr:to>
        <xdr:sp macro="" textlink="">
          <xdr:nvSpPr>
            <xdr:cNvPr id="31863" name="Check Box 119" hidden="1">
              <a:extLst>
                <a:ext uri="{63B3BB69-23CF-44E3-9099-C40C66FF867C}">
                  <a14:compatExt spid="_x0000_s3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30</xdr:row>
          <xdr:rowOff>180975</xdr:rowOff>
        </xdr:from>
        <xdr:to>
          <xdr:col>10</xdr:col>
          <xdr:colOff>552450</xdr:colOff>
          <xdr:row>32</xdr:row>
          <xdr:rowOff>19050</xdr:rowOff>
        </xdr:to>
        <xdr:sp macro="" textlink="">
          <xdr:nvSpPr>
            <xdr:cNvPr id="31864" name="Check Box 120" hidden="1">
              <a:extLst>
                <a:ext uri="{63B3BB69-23CF-44E3-9099-C40C66FF867C}">
                  <a14:compatExt spid="_x0000_s3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31</xdr:row>
          <xdr:rowOff>180975</xdr:rowOff>
        </xdr:from>
        <xdr:to>
          <xdr:col>10</xdr:col>
          <xdr:colOff>552450</xdr:colOff>
          <xdr:row>33</xdr:row>
          <xdr:rowOff>19050</xdr:rowOff>
        </xdr:to>
        <xdr:sp macro="" textlink="">
          <xdr:nvSpPr>
            <xdr:cNvPr id="31865" name="Check Box 121" hidden="1">
              <a:extLst>
                <a:ext uri="{63B3BB69-23CF-44E3-9099-C40C66FF867C}">
                  <a14:compatExt spid="_x0000_s3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32</xdr:row>
          <xdr:rowOff>180975</xdr:rowOff>
        </xdr:from>
        <xdr:to>
          <xdr:col>10</xdr:col>
          <xdr:colOff>552450</xdr:colOff>
          <xdr:row>34</xdr:row>
          <xdr:rowOff>19050</xdr:rowOff>
        </xdr:to>
        <xdr:sp macro="" textlink="">
          <xdr:nvSpPr>
            <xdr:cNvPr id="31866" name="Check Box 122" hidden="1">
              <a:extLst>
                <a:ext uri="{63B3BB69-23CF-44E3-9099-C40C66FF867C}">
                  <a14:compatExt spid="_x0000_s3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33</xdr:row>
          <xdr:rowOff>180975</xdr:rowOff>
        </xdr:from>
        <xdr:to>
          <xdr:col>10</xdr:col>
          <xdr:colOff>552450</xdr:colOff>
          <xdr:row>35</xdr:row>
          <xdr:rowOff>19050</xdr:rowOff>
        </xdr:to>
        <xdr:sp macro="" textlink="">
          <xdr:nvSpPr>
            <xdr:cNvPr id="31867" name="Check Box 123" hidden="1">
              <a:extLst>
                <a:ext uri="{63B3BB69-23CF-44E3-9099-C40C66FF867C}">
                  <a14:compatExt spid="_x0000_s3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0</xdr:row>
          <xdr:rowOff>104775</xdr:rowOff>
        </xdr:from>
        <xdr:to>
          <xdr:col>11</xdr:col>
          <xdr:colOff>390525</xdr:colOff>
          <xdr:row>1</xdr:row>
          <xdr:rowOff>152400</xdr:rowOff>
        </xdr:to>
        <xdr:sp macro="" textlink="">
          <xdr:nvSpPr>
            <xdr:cNvPr id="31868" name="Button 124" hidden="1">
              <a:extLst>
                <a:ext uri="{63B3BB69-23CF-44E3-9099-C40C66FF867C}">
                  <a14:compatExt spid="_x0000_s3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371475</xdr:colOff>
      <xdr:row>0</xdr:row>
      <xdr:rowOff>85725</xdr:rowOff>
    </xdr:from>
    <xdr:to>
      <xdr:col>15</xdr:col>
      <xdr:colOff>123825</xdr:colOff>
      <xdr:row>7</xdr:row>
      <xdr:rowOff>180975</xdr:rowOff>
    </xdr:to>
    <xdr:pic>
      <xdr:nvPicPr>
        <xdr:cNvPr id="96" name="Picture 9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92375" y="85725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6</xdr:row>
          <xdr:rowOff>171450</xdr:rowOff>
        </xdr:from>
        <xdr:to>
          <xdr:col>7</xdr:col>
          <xdr:colOff>771525</xdr:colOff>
          <xdr:row>7</xdr:row>
          <xdr:rowOff>171450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8</xdr:row>
          <xdr:rowOff>19050</xdr:rowOff>
        </xdr:from>
        <xdr:to>
          <xdr:col>7</xdr:col>
          <xdr:colOff>695325</xdr:colOff>
          <xdr:row>9</xdr:row>
          <xdr:rowOff>28575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7</xdr:col>
          <xdr:colOff>695325</xdr:colOff>
          <xdr:row>10</xdr:row>
          <xdr:rowOff>28575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180975</xdr:rowOff>
        </xdr:from>
        <xdr:to>
          <xdr:col>7</xdr:col>
          <xdr:colOff>695325</xdr:colOff>
          <xdr:row>11</xdr:row>
          <xdr:rowOff>9525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10</xdr:row>
          <xdr:rowOff>161925</xdr:rowOff>
        </xdr:from>
        <xdr:to>
          <xdr:col>7</xdr:col>
          <xdr:colOff>714375</xdr:colOff>
          <xdr:row>12</xdr:row>
          <xdr:rowOff>9525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12</xdr:row>
          <xdr:rowOff>0</xdr:rowOff>
        </xdr:from>
        <xdr:to>
          <xdr:col>7</xdr:col>
          <xdr:colOff>723900</xdr:colOff>
          <xdr:row>13</xdr:row>
          <xdr:rowOff>19050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13</xdr:row>
          <xdr:rowOff>0</xdr:rowOff>
        </xdr:from>
        <xdr:to>
          <xdr:col>7</xdr:col>
          <xdr:colOff>685800</xdr:colOff>
          <xdr:row>14</xdr:row>
          <xdr:rowOff>19050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13</xdr:row>
          <xdr:rowOff>180975</xdr:rowOff>
        </xdr:from>
        <xdr:to>
          <xdr:col>7</xdr:col>
          <xdr:colOff>695325</xdr:colOff>
          <xdr:row>15</xdr:row>
          <xdr:rowOff>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14</xdr:row>
          <xdr:rowOff>171450</xdr:rowOff>
        </xdr:from>
        <xdr:to>
          <xdr:col>8</xdr:col>
          <xdr:colOff>762000</xdr:colOff>
          <xdr:row>16</xdr:row>
          <xdr:rowOff>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16</xdr:row>
          <xdr:rowOff>0</xdr:rowOff>
        </xdr:from>
        <xdr:to>
          <xdr:col>7</xdr:col>
          <xdr:colOff>714375</xdr:colOff>
          <xdr:row>17</xdr:row>
          <xdr:rowOff>19050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17</xdr:row>
          <xdr:rowOff>0</xdr:rowOff>
        </xdr:from>
        <xdr:to>
          <xdr:col>7</xdr:col>
          <xdr:colOff>742950</xdr:colOff>
          <xdr:row>18</xdr:row>
          <xdr:rowOff>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17</xdr:row>
          <xdr:rowOff>180975</xdr:rowOff>
        </xdr:from>
        <xdr:to>
          <xdr:col>7</xdr:col>
          <xdr:colOff>714375</xdr:colOff>
          <xdr:row>19</xdr:row>
          <xdr:rowOff>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19</xdr:row>
          <xdr:rowOff>19050</xdr:rowOff>
        </xdr:from>
        <xdr:to>
          <xdr:col>7</xdr:col>
          <xdr:colOff>685800</xdr:colOff>
          <xdr:row>20</xdr:row>
          <xdr:rowOff>28575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20</xdr:row>
          <xdr:rowOff>0</xdr:rowOff>
        </xdr:from>
        <xdr:to>
          <xdr:col>7</xdr:col>
          <xdr:colOff>657225</xdr:colOff>
          <xdr:row>21</xdr:row>
          <xdr:rowOff>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21</xdr:row>
          <xdr:rowOff>9525</xdr:rowOff>
        </xdr:from>
        <xdr:to>
          <xdr:col>7</xdr:col>
          <xdr:colOff>685800</xdr:colOff>
          <xdr:row>22</xdr:row>
          <xdr:rowOff>28575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22</xdr:row>
          <xdr:rowOff>0</xdr:rowOff>
        </xdr:from>
        <xdr:to>
          <xdr:col>7</xdr:col>
          <xdr:colOff>714375</xdr:colOff>
          <xdr:row>23</xdr:row>
          <xdr:rowOff>38100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23</xdr:row>
          <xdr:rowOff>9525</xdr:rowOff>
        </xdr:from>
        <xdr:to>
          <xdr:col>7</xdr:col>
          <xdr:colOff>714375</xdr:colOff>
          <xdr:row>24</xdr:row>
          <xdr:rowOff>38100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23</xdr:row>
          <xdr:rowOff>180975</xdr:rowOff>
        </xdr:from>
        <xdr:to>
          <xdr:col>7</xdr:col>
          <xdr:colOff>714375</xdr:colOff>
          <xdr:row>25</xdr:row>
          <xdr:rowOff>9525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24</xdr:row>
          <xdr:rowOff>180975</xdr:rowOff>
        </xdr:from>
        <xdr:to>
          <xdr:col>7</xdr:col>
          <xdr:colOff>695325</xdr:colOff>
          <xdr:row>26</xdr:row>
          <xdr:rowOff>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26</xdr:row>
          <xdr:rowOff>0</xdr:rowOff>
        </xdr:from>
        <xdr:to>
          <xdr:col>7</xdr:col>
          <xdr:colOff>676275</xdr:colOff>
          <xdr:row>27</xdr:row>
          <xdr:rowOff>9525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</xdr:row>
          <xdr:rowOff>171450</xdr:rowOff>
        </xdr:from>
        <xdr:to>
          <xdr:col>7</xdr:col>
          <xdr:colOff>809625</xdr:colOff>
          <xdr:row>6</xdr:row>
          <xdr:rowOff>180975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</xdr:row>
          <xdr:rowOff>152400</xdr:rowOff>
        </xdr:from>
        <xdr:to>
          <xdr:col>7</xdr:col>
          <xdr:colOff>781050</xdr:colOff>
          <xdr:row>5</xdr:row>
          <xdr:rowOff>180975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6</xdr:row>
          <xdr:rowOff>0</xdr:rowOff>
        </xdr:from>
        <xdr:to>
          <xdr:col>9</xdr:col>
          <xdr:colOff>1790700</xdr:colOff>
          <xdr:row>7</xdr:row>
          <xdr:rowOff>19050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7</xdr:row>
          <xdr:rowOff>9525</xdr:rowOff>
        </xdr:from>
        <xdr:to>
          <xdr:col>9</xdr:col>
          <xdr:colOff>1790700</xdr:colOff>
          <xdr:row>8</xdr:row>
          <xdr:rowOff>28575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8</xdr:row>
          <xdr:rowOff>0</xdr:rowOff>
        </xdr:from>
        <xdr:to>
          <xdr:col>9</xdr:col>
          <xdr:colOff>1790700</xdr:colOff>
          <xdr:row>9</xdr:row>
          <xdr:rowOff>19050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9</xdr:row>
          <xdr:rowOff>19050</xdr:rowOff>
        </xdr:from>
        <xdr:to>
          <xdr:col>9</xdr:col>
          <xdr:colOff>1790700</xdr:colOff>
          <xdr:row>10</xdr:row>
          <xdr:rowOff>38100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11</xdr:row>
          <xdr:rowOff>9525</xdr:rowOff>
        </xdr:from>
        <xdr:to>
          <xdr:col>9</xdr:col>
          <xdr:colOff>1790700</xdr:colOff>
          <xdr:row>12</xdr:row>
          <xdr:rowOff>19050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12</xdr:row>
          <xdr:rowOff>9525</xdr:rowOff>
        </xdr:from>
        <xdr:to>
          <xdr:col>9</xdr:col>
          <xdr:colOff>1790700</xdr:colOff>
          <xdr:row>13</xdr:row>
          <xdr:rowOff>28575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13</xdr:row>
          <xdr:rowOff>0</xdr:rowOff>
        </xdr:from>
        <xdr:to>
          <xdr:col>9</xdr:col>
          <xdr:colOff>1790700</xdr:colOff>
          <xdr:row>14</xdr:row>
          <xdr:rowOff>19050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14</xdr:row>
          <xdr:rowOff>9525</xdr:rowOff>
        </xdr:from>
        <xdr:to>
          <xdr:col>9</xdr:col>
          <xdr:colOff>1790700</xdr:colOff>
          <xdr:row>15</xdr:row>
          <xdr:rowOff>28575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14</xdr:row>
          <xdr:rowOff>180975</xdr:rowOff>
        </xdr:from>
        <xdr:to>
          <xdr:col>9</xdr:col>
          <xdr:colOff>1790700</xdr:colOff>
          <xdr:row>16</xdr:row>
          <xdr:rowOff>9525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15</xdr:row>
          <xdr:rowOff>180975</xdr:rowOff>
        </xdr:from>
        <xdr:to>
          <xdr:col>9</xdr:col>
          <xdr:colOff>1790700</xdr:colOff>
          <xdr:row>17</xdr:row>
          <xdr:rowOff>9525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17</xdr:row>
          <xdr:rowOff>19050</xdr:rowOff>
        </xdr:from>
        <xdr:to>
          <xdr:col>9</xdr:col>
          <xdr:colOff>1790700</xdr:colOff>
          <xdr:row>18</xdr:row>
          <xdr:rowOff>38100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18</xdr:row>
          <xdr:rowOff>9525</xdr:rowOff>
        </xdr:from>
        <xdr:to>
          <xdr:col>9</xdr:col>
          <xdr:colOff>1790700</xdr:colOff>
          <xdr:row>19</xdr:row>
          <xdr:rowOff>28575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19</xdr:row>
          <xdr:rowOff>0</xdr:rowOff>
        </xdr:from>
        <xdr:to>
          <xdr:col>9</xdr:col>
          <xdr:colOff>1790700</xdr:colOff>
          <xdr:row>20</xdr:row>
          <xdr:rowOff>19050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19</xdr:row>
          <xdr:rowOff>180975</xdr:rowOff>
        </xdr:from>
        <xdr:to>
          <xdr:col>9</xdr:col>
          <xdr:colOff>1790700</xdr:colOff>
          <xdr:row>21</xdr:row>
          <xdr:rowOff>9525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21</xdr:row>
          <xdr:rowOff>0</xdr:rowOff>
        </xdr:from>
        <xdr:to>
          <xdr:col>9</xdr:col>
          <xdr:colOff>1790700</xdr:colOff>
          <xdr:row>22</xdr:row>
          <xdr:rowOff>19050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21</xdr:row>
          <xdr:rowOff>180975</xdr:rowOff>
        </xdr:from>
        <xdr:to>
          <xdr:col>9</xdr:col>
          <xdr:colOff>1790700</xdr:colOff>
          <xdr:row>23</xdr:row>
          <xdr:rowOff>9525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22</xdr:row>
          <xdr:rowOff>180975</xdr:rowOff>
        </xdr:from>
        <xdr:to>
          <xdr:col>9</xdr:col>
          <xdr:colOff>1790700</xdr:colOff>
          <xdr:row>24</xdr:row>
          <xdr:rowOff>9525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23</xdr:row>
          <xdr:rowOff>180975</xdr:rowOff>
        </xdr:from>
        <xdr:to>
          <xdr:col>9</xdr:col>
          <xdr:colOff>1790700</xdr:colOff>
          <xdr:row>25</xdr:row>
          <xdr:rowOff>9525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25</xdr:row>
          <xdr:rowOff>19050</xdr:rowOff>
        </xdr:from>
        <xdr:to>
          <xdr:col>9</xdr:col>
          <xdr:colOff>1790700</xdr:colOff>
          <xdr:row>26</xdr:row>
          <xdr:rowOff>38100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26</xdr:row>
          <xdr:rowOff>28575</xdr:rowOff>
        </xdr:from>
        <xdr:to>
          <xdr:col>9</xdr:col>
          <xdr:colOff>1790700</xdr:colOff>
          <xdr:row>27</xdr:row>
          <xdr:rowOff>47625</xdr:rowOff>
        </xdr:to>
        <xdr:sp macro="" textlink="">
          <xdr:nvSpPr>
            <xdr:cNvPr id="32810" name="Check Box 42" hidden="1">
              <a:extLst>
                <a:ext uri="{63B3BB69-23CF-44E3-9099-C40C66FF867C}">
                  <a14:compatExt spid="_x0000_s32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5</xdr:row>
          <xdr:rowOff>0</xdr:rowOff>
        </xdr:from>
        <xdr:to>
          <xdr:col>9</xdr:col>
          <xdr:colOff>1838325</xdr:colOff>
          <xdr:row>6</xdr:row>
          <xdr:rowOff>19050</xdr:rowOff>
        </xdr:to>
        <xdr:sp macro="" textlink="">
          <xdr:nvSpPr>
            <xdr:cNvPr id="32811" name="Check Box 43" hidden="1">
              <a:extLst>
                <a:ext uri="{63B3BB69-23CF-44E3-9099-C40C66FF867C}">
                  <a14:compatExt spid="_x0000_s32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3</xdr:row>
          <xdr:rowOff>180975</xdr:rowOff>
        </xdr:from>
        <xdr:to>
          <xdr:col>9</xdr:col>
          <xdr:colOff>1962150</xdr:colOff>
          <xdr:row>5</xdr:row>
          <xdr:rowOff>28575</xdr:rowOff>
        </xdr:to>
        <xdr:sp macro="" textlink="">
          <xdr:nvSpPr>
            <xdr:cNvPr id="32812" name="Check Box 44" hidden="1">
              <a:extLst>
                <a:ext uri="{63B3BB69-23CF-44E3-9099-C40C66FF867C}">
                  <a14:compatExt spid="_x0000_s32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4</xdr:row>
          <xdr:rowOff>28575</xdr:rowOff>
        </xdr:from>
        <xdr:to>
          <xdr:col>10</xdr:col>
          <xdr:colOff>800100</xdr:colOff>
          <xdr:row>5</xdr:row>
          <xdr:rowOff>28575</xdr:rowOff>
        </xdr:to>
        <xdr:sp macro="" textlink="">
          <xdr:nvSpPr>
            <xdr:cNvPr id="32813" name="Check Box 45" hidden="1">
              <a:extLst>
                <a:ext uri="{63B3BB69-23CF-44E3-9099-C40C66FF867C}">
                  <a14:compatExt spid="_x0000_s32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</xdr:row>
          <xdr:rowOff>152400</xdr:rowOff>
        </xdr:from>
        <xdr:to>
          <xdr:col>7</xdr:col>
          <xdr:colOff>781050</xdr:colOff>
          <xdr:row>4</xdr:row>
          <xdr:rowOff>180975</xdr:rowOff>
        </xdr:to>
        <xdr:sp macro="" textlink="">
          <xdr:nvSpPr>
            <xdr:cNvPr id="32814" name="Check Box 46" hidden="1">
              <a:extLst>
                <a:ext uri="{63B3BB69-23CF-44E3-9099-C40C66FF867C}">
                  <a14:compatExt spid="_x0000_s32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1323975</xdr:colOff>
          <xdr:row>10</xdr:row>
          <xdr:rowOff>0</xdr:rowOff>
        </xdr:from>
        <xdr:to>
          <xdr:col>9</xdr:col>
          <xdr:colOff>1790700</xdr:colOff>
          <xdr:row>11</xdr:row>
          <xdr:rowOff>19050</xdr:rowOff>
        </xdr:to>
        <xdr:sp macro="" textlink="">
          <xdr:nvSpPr>
            <xdr:cNvPr id="32815" name="Check Box 47" hidden="1">
              <a:extLst>
                <a:ext uri="{63B3BB69-23CF-44E3-9099-C40C66FF867C}">
                  <a14:compatExt spid="_x0000_s32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27</xdr:row>
          <xdr:rowOff>28575</xdr:rowOff>
        </xdr:from>
        <xdr:to>
          <xdr:col>7</xdr:col>
          <xdr:colOff>657225</xdr:colOff>
          <xdr:row>28</xdr:row>
          <xdr:rowOff>28575</xdr:rowOff>
        </xdr:to>
        <xdr:sp macro="" textlink="">
          <xdr:nvSpPr>
            <xdr:cNvPr id="32816" name="Check Box 48" hidden="1">
              <a:extLst>
                <a:ext uri="{63B3BB69-23CF-44E3-9099-C40C66FF867C}">
                  <a14:compatExt spid="_x0000_s32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28</xdr:row>
          <xdr:rowOff>19050</xdr:rowOff>
        </xdr:from>
        <xdr:to>
          <xdr:col>7</xdr:col>
          <xdr:colOff>685800</xdr:colOff>
          <xdr:row>29</xdr:row>
          <xdr:rowOff>38100</xdr:rowOff>
        </xdr:to>
        <xdr:sp macro="" textlink="">
          <xdr:nvSpPr>
            <xdr:cNvPr id="32817" name="Check Box 49" hidden="1">
              <a:extLst>
                <a:ext uri="{63B3BB69-23CF-44E3-9099-C40C66FF867C}">
                  <a14:compatExt spid="_x0000_s3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29</xdr:row>
          <xdr:rowOff>19050</xdr:rowOff>
        </xdr:from>
        <xdr:to>
          <xdr:col>7</xdr:col>
          <xdr:colOff>714375</xdr:colOff>
          <xdr:row>30</xdr:row>
          <xdr:rowOff>57150</xdr:rowOff>
        </xdr:to>
        <xdr:sp macro="" textlink="">
          <xdr:nvSpPr>
            <xdr:cNvPr id="32818" name="Check Box 50" hidden="1">
              <a:extLst>
                <a:ext uri="{63B3BB69-23CF-44E3-9099-C40C66FF867C}">
                  <a14:compatExt spid="_x0000_s3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30</xdr:row>
          <xdr:rowOff>0</xdr:rowOff>
        </xdr:from>
        <xdr:to>
          <xdr:col>7</xdr:col>
          <xdr:colOff>714375</xdr:colOff>
          <xdr:row>31</xdr:row>
          <xdr:rowOff>28575</xdr:rowOff>
        </xdr:to>
        <xdr:sp macro="" textlink="">
          <xdr:nvSpPr>
            <xdr:cNvPr id="32819" name="Check Box 51" hidden="1">
              <a:extLst>
                <a:ext uri="{63B3BB69-23CF-44E3-9099-C40C66FF867C}">
                  <a14:compatExt spid="_x0000_s32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31</xdr:row>
          <xdr:rowOff>0</xdr:rowOff>
        </xdr:from>
        <xdr:to>
          <xdr:col>7</xdr:col>
          <xdr:colOff>714375</xdr:colOff>
          <xdr:row>32</xdr:row>
          <xdr:rowOff>19050</xdr:rowOff>
        </xdr:to>
        <xdr:sp macro="" textlink="">
          <xdr:nvSpPr>
            <xdr:cNvPr id="32820" name="Check Box 52" hidden="1">
              <a:extLst>
                <a:ext uri="{63B3BB69-23CF-44E3-9099-C40C66FF867C}">
                  <a14:compatExt spid="_x0000_s32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32</xdr:row>
          <xdr:rowOff>19050</xdr:rowOff>
        </xdr:from>
        <xdr:to>
          <xdr:col>7</xdr:col>
          <xdr:colOff>695325</xdr:colOff>
          <xdr:row>33</xdr:row>
          <xdr:rowOff>28575</xdr:rowOff>
        </xdr:to>
        <xdr:sp macro="" textlink="">
          <xdr:nvSpPr>
            <xdr:cNvPr id="32821" name="Check Box 53" hidden="1">
              <a:extLst>
                <a:ext uri="{63B3BB69-23CF-44E3-9099-C40C66FF867C}">
                  <a14:compatExt spid="_x0000_s32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33</xdr:row>
          <xdr:rowOff>28575</xdr:rowOff>
        </xdr:from>
        <xdr:to>
          <xdr:col>7</xdr:col>
          <xdr:colOff>676275</xdr:colOff>
          <xdr:row>34</xdr:row>
          <xdr:rowOff>38100</xdr:rowOff>
        </xdr:to>
        <xdr:sp macro="" textlink="">
          <xdr:nvSpPr>
            <xdr:cNvPr id="32822" name="Check Box 54" hidden="1">
              <a:extLst>
                <a:ext uri="{63B3BB69-23CF-44E3-9099-C40C66FF867C}">
                  <a14:compatExt spid="_x0000_s32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27</xdr:row>
          <xdr:rowOff>9525</xdr:rowOff>
        </xdr:from>
        <xdr:to>
          <xdr:col>9</xdr:col>
          <xdr:colOff>1781175</xdr:colOff>
          <xdr:row>28</xdr:row>
          <xdr:rowOff>28575</xdr:rowOff>
        </xdr:to>
        <xdr:sp macro="" textlink="">
          <xdr:nvSpPr>
            <xdr:cNvPr id="32823" name="Check Box 55" hidden="1">
              <a:extLst>
                <a:ext uri="{63B3BB69-23CF-44E3-9099-C40C66FF867C}">
                  <a14:compatExt spid="_x0000_s32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28</xdr:row>
          <xdr:rowOff>19050</xdr:rowOff>
        </xdr:from>
        <xdr:to>
          <xdr:col>9</xdr:col>
          <xdr:colOff>1781175</xdr:colOff>
          <xdr:row>29</xdr:row>
          <xdr:rowOff>38100</xdr:rowOff>
        </xdr:to>
        <xdr:sp macro="" textlink="">
          <xdr:nvSpPr>
            <xdr:cNvPr id="32824" name="Check Box 56" hidden="1">
              <a:extLst>
                <a:ext uri="{63B3BB69-23CF-44E3-9099-C40C66FF867C}">
                  <a14:compatExt spid="_x0000_s32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29</xdr:row>
          <xdr:rowOff>9525</xdr:rowOff>
        </xdr:from>
        <xdr:to>
          <xdr:col>9</xdr:col>
          <xdr:colOff>1781175</xdr:colOff>
          <xdr:row>30</xdr:row>
          <xdr:rowOff>28575</xdr:rowOff>
        </xdr:to>
        <xdr:sp macro="" textlink="">
          <xdr:nvSpPr>
            <xdr:cNvPr id="32825" name="Check Box 57" hidden="1">
              <a:extLst>
                <a:ext uri="{63B3BB69-23CF-44E3-9099-C40C66FF867C}">
                  <a14:compatExt spid="_x0000_s32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30</xdr:row>
          <xdr:rowOff>9525</xdr:rowOff>
        </xdr:from>
        <xdr:to>
          <xdr:col>9</xdr:col>
          <xdr:colOff>1781175</xdr:colOff>
          <xdr:row>31</xdr:row>
          <xdr:rowOff>28575</xdr:rowOff>
        </xdr:to>
        <xdr:sp macro="" textlink="">
          <xdr:nvSpPr>
            <xdr:cNvPr id="32826" name="Check Box 58" hidden="1">
              <a:extLst>
                <a:ext uri="{63B3BB69-23CF-44E3-9099-C40C66FF867C}">
                  <a14:compatExt spid="_x0000_s32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31</xdr:row>
          <xdr:rowOff>9525</xdr:rowOff>
        </xdr:from>
        <xdr:to>
          <xdr:col>9</xdr:col>
          <xdr:colOff>1781175</xdr:colOff>
          <xdr:row>32</xdr:row>
          <xdr:rowOff>28575</xdr:rowOff>
        </xdr:to>
        <xdr:sp macro="" textlink="">
          <xdr:nvSpPr>
            <xdr:cNvPr id="32827" name="Check Box 59" hidden="1">
              <a:extLst>
                <a:ext uri="{63B3BB69-23CF-44E3-9099-C40C66FF867C}">
                  <a14:compatExt spid="_x0000_s32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32</xdr:row>
          <xdr:rowOff>38100</xdr:rowOff>
        </xdr:from>
        <xdr:to>
          <xdr:col>9</xdr:col>
          <xdr:colOff>1781175</xdr:colOff>
          <xdr:row>33</xdr:row>
          <xdr:rowOff>57150</xdr:rowOff>
        </xdr:to>
        <xdr:sp macro="" textlink="">
          <xdr:nvSpPr>
            <xdr:cNvPr id="32828" name="Check Box 60" hidden="1">
              <a:extLst>
                <a:ext uri="{63B3BB69-23CF-44E3-9099-C40C66FF867C}">
                  <a14:compatExt spid="_x0000_s32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33</xdr:row>
          <xdr:rowOff>28575</xdr:rowOff>
        </xdr:from>
        <xdr:to>
          <xdr:col>9</xdr:col>
          <xdr:colOff>1781175</xdr:colOff>
          <xdr:row>34</xdr:row>
          <xdr:rowOff>47625</xdr:rowOff>
        </xdr:to>
        <xdr:sp macro="" textlink="">
          <xdr:nvSpPr>
            <xdr:cNvPr id="32829" name="Check Box 61" hidden="1">
              <a:extLst>
                <a:ext uri="{63B3BB69-23CF-44E3-9099-C40C66FF867C}">
                  <a14:compatExt spid="_x0000_s32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34</xdr:row>
          <xdr:rowOff>28575</xdr:rowOff>
        </xdr:from>
        <xdr:to>
          <xdr:col>7</xdr:col>
          <xdr:colOff>676275</xdr:colOff>
          <xdr:row>35</xdr:row>
          <xdr:rowOff>38100</xdr:rowOff>
        </xdr:to>
        <xdr:sp macro="" textlink="">
          <xdr:nvSpPr>
            <xdr:cNvPr id="32830" name="Check Box 62" hidden="1">
              <a:extLst>
                <a:ext uri="{63B3BB69-23CF-44E3-9099-C40C66FF867C}">
                  <a14:compatExt spid="_x0000_s32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34</xdr:row>
          <xdr:rowOff>9525</xdr:rowOff>
        </xdr:from>
        <xdr:to>
          <xdr:col>9</xdr:col>
          <xdr:colOff>1781175</xdr:colOff>
          <xdr:row>35</xdr:row>
          <xdr:rowOff>28575</xdr:rowOff>
        </xdr:to>
        <xdr:sp macro="" textlink="">
          <xdr:nvSpPr>
            <xdr:cNvPr id="32831" name="Check Box 63" hidden="1">
              <a:extLst>
                <a:ext uri="{63B3BB69-23CF-44E3-9099-C40C66FF867C}">
                  <a14:compatExt spid="_x0000_s32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5</xdr:row>
          <xdr:rowOff>9525</xdr:rowOff>
        </xdr:from>
        <xdr:to>
          <xdr:col>10</xdr:col>
          <xdr:colOff>876300</xdr:colOff>
          <xdr:row>6</xdr:row>
          <xdr:rowOff>28575</xdr:rowOff>
        </xdr:to>
        <xdr:sp macro="" textlink="">
          <xdr:nvSpPr>
            <xdr:cNvPr id="32832" name="Check Box 64" hidden="1">
              <a:extLst>
                <a:ext uri="{63B3BB69-23CF-44E3-9099-C40C66FF867C}">
                  <a14:compatExt spid="_x0000_s32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6</xdr:row>
          <xdr:rowOff>28575</xdr:rowOff>
        </xdr:from>
        <xdr:to>
          <xdr:col>10</xdr:col>
          <xdr:colOff>790575</xdr:colOff>
          <xdr:row>7</xdr:row>
          <xdr:rowOff>28575</xdr:rowOff>
        </xdr:to>
        <xdr:sp macro="" textlink="">
          <xdr:nvSpPr>
            <xdr:cNvPr id="32833" name="Check Box 65" hidden="1">
              <a:extLst>
                <a:ext uri="{63B3BB69-23CF-44E3-9099-C40C66FF867C}">
                  <a14:compatExt spid="_x0000_s32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7</xdr:row>
          <xdr:rowOff>0</xdr:rowOff>
        </xdr:from>
        <xdr:to>
          <xdr:col>10</xdr:col>
          <xdr:colOff>790575</xdr:colOff>
          <xdr:row>8</xdr:row>
          <xdr:rowOff>28575</xdr:rowOff>
        </xdr:to>
        <xdr:sp macro="" textlink="">
          <xdr:nvSpPr>
            <xdr:cNvPr id="32834" name="Check Box 66" hidden="1">
              <a:extLst>
                <a:ext uri="{63B3BB69-23CF-44E3-9099-C40C66FF867C}">
                  <a14:compatExt spid="_x0000_s32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8</xdr:row>
          <xdr:rowOff>19050</xdr:rowOff>
        </xdr:from>
        <xdr:to>
          <xdr:col>10</xdr:col>
          <xdr:colOff>828675</xdr:colOff>
          <xdr:row>9</xdr:row>
          <xdr:rowOff>28575</xdr:rowOff>
        </xdr:to>
        <xdr:sp macro="" textlink="">
          <xdr:nvSpPr>
            <xdr:cNvPr id="32835" name="Check Box 67" hidden="1">
              <a:extLst>
                <a:ext uri="{63B3BB69-23CF-44E3-9099-C40C66FF867C}">
                  <a14:compatExt spid="_x0000_s32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9</xdr:row>
          <xdr:rowOff>0</xdr:rowOff>
        </xdr:from>
        <xdr:to>
          <xdr:col>10</xdr:col>
          <xdr:colOff>781050</xdr:colOff>
          <xdr:row>10</xdr:row>
          <xdr:rowOff>28575</xdr:rowOff>
        </xdr:to>
        <xdr:sp macro="" textlink="">
          <xdr:nvSpPr>
            <xdr:cNvPr id="32836" name="Check Box 68" hidden="1">
              <a:extLst>
                <a:ext uri="{63B3BB69-23CF-44E3-9099-C40C66FF867C}">
                  <a14:compatExt spid="_x0000_s32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10</xdr:row>
          <xdr:rowOff>0</xdr:rowOff>
        </xdr:from>
        <xdr:to>
          <xdr:col>10</xdr:col>
          <xdr:colOff>857250</xdr:colOff>
          <xdr:row>11</xdr:row>
          <xdr:rowOff>19050</xdr:rowOff>
        </xdr:to>
        <xdr:sp macro="" textlink="">
          <xdr:nvSpPr>
            <xdr:cNvPr id="32837" name="Check Box 69" hidden="1">
              <a:extLst>
                <a:ext uri="{63B3BB69-23CF-44E3-9099-C40C66FF867C}">
                  <a14:compatExt spid="_x0000_s32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11</xdr:row>
          <xdr:rowOff>9525</xdr:rowOff>
        </xdr:from>
        <xdr:to>
          <xdr:col>10</xdr:col>
          <xdr:colOff>781050</xdr:colOff>
          <xdr:row>12</xdr:row>
          <xdr:rowOff>28575</xdr:rowOff>
        </xdr:to>
        <xdr:sp macro="" textlink="">
          <xdr:nvSpPr>
            <xdr:cNvPr id="32838" name="Check Box 70" hidden="1">
              <a:extLst>
                <a:ext uri="{63B3BB69-23CF-44E3-9099-C40C66FF867C}">
                  <a14:compatExt spid="_x0000_s32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12</xdr:row>
          <xdr:rowOff>19050</xdr:rowOff>
        </xdr:from>
        <xdr:to>
          <xdr:col>10</xdr:col>
          <xdr:colOff>809625</xdr:colOff>
          <xdr:row>13</xdr:row>
          <xdr:rowOff>28575</xdr:rowOff>
        </xdr:to>
        <xdr:sp macro="" textlink="">
          <xdr:nvSpPr>
            <xdr:cNvPr id="32839" name="Check Box 71" hidden="1">
              <a:extLst>
                <a:ext uri="{63B3BB69-23CF-44E3-9099-C40C66FF867C}">
                  <a14:compatExt spid="_x0000_s32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13</xdr:row>
          <xdr:rowOff>9525</xdr:rowOff>
        </xdr:from>
        <xdr:to>
          <xdr:col>10</xdr:col>
          <xdr:colOff>819150</xdr:colOff>
          <xdr:row>14</xdr:row>
          <xdr:rowOff>28575</xdr:rowOff>
        </xdr:to>
        <xdr:sp macro="" textlink="">
          <xdr:nvSpPr>
            <xdr:cNvPr id="32840" name="Check Box 72" hidden="1">
              <a:extLst>
                <a:ext uri="{63B3BB69-23CF-44E3-9099-C40C66FF867C}">
                  <a14:compatExt spid="_x0000_s32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14</xdr:row>
          <xdr:rowOff>19050</xdr:rowOff>
        </xdr:from>
        <xdr:to>
          <xdr:col>10</xdr:col>
          <xdr:colOff>819150</xdr:colOff>
          <xdr:row>15</xdr:row>
          <xdr:rowOff>28575</xdr:rowOff>
        </xdr:to>
        <xdr:sp macro="" textlink="">
          <xdr:nvSpPr>
            <xdr:cNvPr id="32841" name="Check Box 73" hidden="1">
              <a:extLst>
                <a:ext uri="{63B3BB69-23CF-44E3-9099-C40C66FF867C}">
                  <a14:compatExt spid="_x0000_s32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15</xdr:row>
          <xdr:rowOff>28575</xdr:rowOff>
        </xdr:from>
        <xdr:to>
          <xdr:col>10</xdr:col>
          <xdr:colOff>809625</xdr:colOff>
          <xdr:row>16</xdr:row>
          <xdr:rowOff>28575</xdr:rowOff>
        </xdr:to>
        <xdr:sp macro="" textlink="">
          <xdr:nvSpPr>
            <xdr:cNvPr id="32842" name="Check Box 74" hidden="1">
              <a:extLst>
                <a:ext uri="{63B3BB69-23CF-44E3-9099-C40C66FF867C}">
                  <a14:compatExt spid="_x0000_s32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16</xdr:row>
          <xdr:rowOff>19050</xdr:rowOff>
        </xdr:from>
        <xdr:to>
          <xdr:col>10</xdr:col>
          <xdr:colOff>866775</xdr:colOff>
          <xdr:row>17</xdr:row>
          <xdr:rowOff>28575</xdr:rowOff>
        </xdr:to>
        <xdr:sp macro="" textlink="">
          <xdr:nvSpPr>
            <xdr:cNvPr id="32843" name="Check Box 75" hidden="1">
              <a:extLst>
                <a:ext uri="{63B3BB69-23CF-44E3-9099-C40C66FF867C}">
                  <a14:compatExt spid="_x0000_s32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17</xdr:row>
          <xdr:rowOff>19050</xdr:rowOff>
        </xdr:from>
        <xdr:to>
          <xdr:col>10</xdr:col>
          <xdr:colOff>752475</xdr:colOff>
          <xdr:row>18</xdr:row>
          <xdr:rowOff>28575</xdr:rowOff>
        </xdr:to>
        <xdr:sp macro="" textlink="">
          <xdr:nvSpPr>
            <xdr:cNvPr id="32844" name="Check Box 76" hidden="1">
              <a:extLst>
                <a:ext uri="{63B3BB69-23CF-44E3-9099-C40C66FF867C}">
                  <a14:compatExt spid="_x0000_s32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18</xdr:row>
          <xdr:rowOff>19050</xdr:rowOff>
        </xdr:from>
        <xdr:to>
          <xdr:col>10</xdr:col>
          <xdr:colOff>762000</xdr:colOff>
          <xdr:row>19</xdr:row>
          <xdr:rowOff>28575</xdr:rowOff>
        </xdr:to>
        <xdr:sp macro="" textlink="">
          <xdr:nvSpPr>
            <xdr:cNvPr id="32845" name="Check Box 77" hidden="1">
              <a:extLst>
                <a:ext uri="{63B3BB69-23CF-44E3-9099-C40C66FF867C}">
                  <a14:compatExt spid="_x0000_s32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19</xdr:row>
          <xdr:rowOff>19050</xdr:rowOff>
        </xdr:from>
        <xdr:to>
          <xdr:col>10</xdr:col>
          <xdr:colOff>800100</xdr:colOff>
          <xdr:row>20</xdr:row>
          <xdr:rowOff>28575</xdr:rowOff>
        </xdr:to>
        <xdr:sp macro="" textlink="">
          <xdr:nvSpPr>
            <xdr:cNvPr id="32846" name="Check Box 78" hidden="1">
              <a:extLst>
                <a:ext uri="{63B3BB69-23CF-44E3-9099-C40C66FF867C}">
                  <a14:compatExt spid="_x0000_s32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20</xdr:row>
          <xdr:rowOff>9525</xdr:rowOff>
        </xdr:from>
        <xdr:to>
          <xdr:col>10</xdr:col>
          <xdr:colOff>781050</xdr:colOff>
          <xdr:row>21</xdr:row>
          <xdr:rowOff>28575</xdr:rowOff>
        </xdr:to>
        <xdr:sp macro="" textlink="">
          <xdr:nvSpPr>
            <xdr:cNvPr id="32847" name="Check Box 79" hidden="1">
              <a:extLst>
                <a:ext uri="{63B3BB69-23CF-44E3-9099-C40C66FF867C}">
                  <a14:compatExt spid="_x0000_s32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21</xdr:row>
          <xdr:rowOff>0</xdr:rowOff>
        </xdr:from>
        <xdr:to>
          <xdr:col>10</xdr:col>
          <xdr:colOff>828675</xdr:colOff>
          <xdr:row>22</xdr:row>
          <xdr:rowOff>28575</xdr:rowOff>
        </xdr:to>
        <xdr:sp macro="" textlink="">
          <xdr:nvSpPr>
            <xdr:cNvPr id="32848" name="Check Box 80" hidden="1">
              <a:extLst>
                <a:ext uri="{63B3BB69-23CF-44E3-9099-C40C66FF867C}">
                  <a14:compatExt spid="_x0000_s32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22</xdr:row>
          <xdr:rowOff>9525</xdr:rowOff>
        </xdr:from>
        <xdr:to>
          <xdr:col>10</xdr:col>
          <xdr:colOff>781050</xdr:colOff>
          <xdr:row>23</xdr:row>
          <xdr:rowOff>28575</xdr:rowOff>
        </xdr:to>
        <xdr:sp macro="" textlink="">
          <xdr:nvSpPr>
            <xdr:cNvPr id="32849" name="Check Box 81" hidden="1">
              <a:extLst>
                <a:ext uri="{63B3BB69-23CF-44E3-9099-C40C66FF867C}">
                  <a14:compatExt spid="_x0000_s32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23</xdr:row>
          <xdr:rowOff>19050</xdr:rowOff>
        </xdr:from>
        <xdr:to>
          <xdr:col>10</xdr:col>
          <xdr:colOff>790575</xdr:colOff>
          <xdr:row>24</xdr:row>
          <xdr:rowOff>28575</xdr:rowOff>
        </xdr:to>
        <xdr:sp macro="" textlink="">
          <xdr:nvSpPr>
            <xdr:cNvPr id="32850" name="Check Box 82" hidden="1">
              <a:extLst>
                <a:ext uri="{63B3BB69-23CF-44E3-9099-C40C66FF867C}">
                  <a14:compatExt spid="_x0000_s32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24</xdr:row>
          <xdr:rowOff>19050</xdr:rowOff>
        </xdr:from>
        <xdr:to>
          <xdr:col>10</xdr:col>
          <xdr:colOff>790575</xdr:colOff>
          <xdr:row>25</xdr:row>
          <xdr:rowOff>28575</xdr:rowOff>
        </xdr:to>
        <xdr:sp macro="" textlink="">
          <xdr:nvSpPr>
            <xdr:cNvPr id="32851" name="Check Box 83" hidden="1">
              <a:extLst>
                <a:ext uri="{63B3BB69-23CF-44E3-9099-C40C66FF867C}">
                  <a14:compatExt spid="_x0000_s32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25</xdr:row>
          <xdr:rowOff>9525</xdr:rowOff>
        </xdr:from>
        <xdr:to>
          <xdr:col>10</xdr:col>
          <xdr:colOff>819150</xdr:colOff>
          <xdr:row>26</xdr:row>
          <xdr:rowOff>28575</xdr:rowOff>
        </xdr:to>
        <xdr:sp macro="" textlink="">
          <xdr:nvSpPr>
            <xdr:cNvPr id="32852" name="Check Box 84" hidden="1">
              <a:extLst>
                <a:ext uri="{63B3BB69-23CF-44E3-9099-C40C66FF867C}">
                  <a14:compatExt spid="_x0000_s32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26</xdr:row>
          <xdr:rowOff>19050</xdr:rowOff>
        </xdr:from>
        <xdr:to>
          <xdr:col>10</xdr:col>
          <xdr:colOff>790575</xdr:colOff>
          <xdr:row>27</xdr:row>
          <xdr:rowOff>28575</xdr:rowOff>
        </xdr:to>
        <xdr:sp macro="" textlink="">
          <xdr:nvSpPr>
            <xdr:cNvPr id="32853" name="Check Box 85" hidden="1">
              <a:extLst>
                <a:ext uri="{63B3BB69-23CF-44E3-9099-C40C66FF867C}">
                  <a14:compatExt spid="_x0000_s32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27</xdr:row>
          <xdr:rowOff>0</xdr:rowOff>
        </xdr:from>
        <xdr:to>
          <xdr:col>10</xdr:col>
          <xdr:colOff>847725</xdr:colOff>
          <xdr:row>28</xdr:row>
          <xdr:rowOff>28575</xdr:rowOff>
        </xdr:to>
        <xdr:sp macro="" textlink="">
          <xdr:nvSpPr>
            <xdr:cNvPr id="32854" name="Check Box 86" hidden="1">
              <a:extLst>
                <a:ext uri="{63B3BB69-23CF-44E3-9099-C40C66FF867C}">
                  <a14:compatExt spid="_x0000_s32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28</xdr:row>
          <xdr:rowOff>0</xdr:rowOff>
        </xdr:from>
        <xdr:to>
          <xdr:col>10</xdr:col>
          <xdr:colOff>847725</xdr:colOff>
          <xdr:row>29</xdr:row>
          <xdr:rowOff>28575</xdr:rowOff>
        </xdr:to>
        <xdr:sp macro="" textlink="">
          <xdr:nvSpPr>
            <xdr:cNvPr id="32855" name="Check Box 87" hidden="1">
              <a:extLst>
                <a:ext uri="{63B3BB69-23CF-44E3-9099-C40C66FF867C}">
                  <a14:compatExt spid="_x0000_s32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29</xdr:row>
          <xdr:rowOff>19050</xdr:rowOff>
        </xdr:from>
        <xdr:to>
          <xdr:col>10</xdr:col>
          <xdr:colOff>800100</xdr:colOff>
          <xdr:row>30</xdr:row>
          <xdr:rowOff>28575</xdr:rowOff>
        </xdr:to>
        <xdr:sp macro="" textlink="">
          <xdr:nvSpPr>
            <xdr:cNvPr id="32856" name="Check Box 88" hidden="1">
              <a:extLst>
                <a:ext uri="{63B3BB69-23CF-44E3-9099-C40C66FF867C}">
                  <a14:compatExt spid="_x0000_s32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30</xdr:row>
          <xdr:rowOff>9525</xdr:rowOff>
        </xdr:from>
        <xdr:to>
          <xdr:col>10</xdr:col>
          <xdr:colOff>819150</xdr:colOff>
          <xdr:row>31</xdr:row>
          <xdr:rowOff>28575</xdr:rowOff>
        </xdr:to>
        <xdr:sp macro="" textlink="">
          <xdr:nvSpPr>
            <xdr:cNvPr id="32857" name="Check Box 89" hidden="1">
              <a:extLst>
                <a:ext uri="{63B3BB69-23CF-44E3-9099-C40C66FF867C}">
                  <a14:compatExt spid="_x0000_s32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31</xdr:row>
          <xdr:rowOff>19050</xdr:rowOff>
        </xdr:from>
        <xdr:to>
          <xdr:col>10</xdr:col>
          <xdr:colOff>838200</xdr:colOff>
          <xdr:row>32</xdr:row>
          <xdr:rowOff>28575</xdr:rowOff>
        </xdr:to>
        <xdr:sp macro="" textlink="">
          <xdr:nvSpPr>
            <xdr:cNvPr id="32858" name="Check Box 90" hidden="1">
              <a:extLst>
                <a:ext uri="{63B3BB69-23CF-44E3-9099-C40C66FF867C}">
                  <a14:compatExt spid="_x0000_s32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32</xdr:row>
          <xdr:rowOff>0</xdr:rowOff>
        </xdr:from>
        <xdr:to>
          <xdr:col>10</xdr:col>
          <xdr:colOff>838200</xdr:colOff>
          <xdr:row>33</xdr:row>
          <xdr:rowOff>28575</xdr:rowOff>
        </xdr:to>
        <xdr:sp macro="" textlink="">
          <xdr:nvSpPr>
            <xdr:cNvPr id="32859" name="Check Box 91" hidden="1">
              <a:extLst>
                <a:ext uri="{63B3BB69-23CF-44E3-9099-C40C66FF867C}">
                  <a14:compatExt spid="_x0000_s32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33</xdr:row>
          <xdr:rowOff>0</xdr:rowOff>
        </xdr:from>
        <xdr:to>
          <xdr:col>10</xdr:col>
          <xdr:colOff>809625</xdr:colOff>
          <xdr:row>34</xdr:row>
          <xdr:rowOff>28575</xdr:rowOff>
        </xdr:to>
        <xdr:sp macro="" textlink="">
          <xdr:nvSpPr>
            <xdr:cNvPr id="32860" name="Check Box 92" hidden="1">
              <a:extLst>
                <a:ext uri="{63B3BB69-23CF-44E3-9099-C40C66FF867C}">
                  <a14:compatExt spid="_x0000_s32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34</xdr:row>
          <xdr:rowOff>0</xdr:rowOff>
        </xdr:from>
        <xdr:to>
          <xdr:col>10</xdr:col>
          <xdr:colOff>876300</xdr:colOff>
          <xdr:row>35</xdr:row>
          <xdr:rowOff>9525</xdr:rowOff>
        </xdr:to>
        <xdr:sp macro="" textlink="">
          <xdr:nvSpPr>
            <xdr:cNvPr id="32861" name="Check Box 93" hidden="1">
              <a:extLst>
                <a:ext uri="{63B3BB69-23CF-44E3-9099-C40C66FF867C}">
                  <a14:compatExt spid="_x0000_s32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6</xdr:row>
          <xdr:rowOff>161925</xdr:rowOff>
        </xdr:from>
        <xdr:to>
          <xdr:col>8</xdr:col>
          <xdr:colOff>904875</xdr:colOff>
          <xdr:row>7</xdr:row>
          <xdr:rowOff>161925</xdr:rowOff>
        </xdr:to>
        <xdr:sp macro="" textlink="">
          <xdr:nvSpPr>
            <xdr:cNvPr id="32862" name="Check Box 94" hidden="1">
              <a:extLst>
                <a:ext uri="{63B3BB69-23CF-44E3-9099-C40C66FF867C}">
                  <a14:compatExt spid="_x0000_s32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7</xdr:row>
          <xdr:rowOff>161925</xdr:rowOff>
        </xdr:from>
        <xdr:to>
          <xdr:col>8</xdr:col>
          <xdr:colOff>828675</xdr:colOff>
          <xdr:row>8</xdr:row>
          <xdr:rowOff>171450</xdr:rowOff>
        </xdr:to>
        <xdr:sp macro="" textlink="">
          <xdr:nvSpPr>
            <xdr:cNvPr id="32863" name="Check Box 95" hidden="1">
              <a:extLst>
                <a:ext uri="{63B3BB69-23CF-44E3-9099-C40C66FF867C}">
                  <a14:compatExt spid="_x0000_s32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8</xdr:row>
          <xdr:rowOff>161925</xdr:rowOff>
        </xdr:from>
        <xdr:to>
          <xdr:col>8</xdr:col>
          <xdr:colOff>828675</xdr:colOff>
          <xdr:row>9</xdr:row>
          <xdr:rowOff>171450</xdr:rowOff>
        </xdr:to>
        <xdr:sp macro="" textlink="">
          <xdr:nvSpPr>
            <xdr:cNvPr id="32864" name="Check Box 96" hidden="1">
              <a:extLst>
                <a:ext uri="{63B3BB69-23CF-44E3-9099-C40C66FF867C}">
                  <a14:compatExt spid="_x0000_s32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9</xdr:row>
          <xdr:rowOff>133350</xdr:rowOff>
        </xdr:from>
        <xdr:to>
          <xdr:col>8</xdr:col>
          <xdr:colOff>828675</xdr:colOff>
          <xdr:row>10</xdr:row>
          <xdr:rowOff>152400</xdr:rowOff>
        </xdr:to>
        <xdr:sp macro="" textlink="">
          <xdr:nvSpPr>
            <xdr:cNvPr id="32865" name="Check Box 97" hidden="1">
              <a:extLst>
                <a:ext uri="{63B3BB69-23CF-44E3-9099-C40C66FF867C}">
                  <a14:compatExt spid="_x0000_s3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8</xdr:col>
          <xdr:colOff>847725</xdr:colOff>
          <xdr:row>11</xdr:row>
          <xdr:rowOff>171450</xdr:rowOff>
        </xdr:to>
        <xdr:sp macro="" textlink="">
          <xdr:nvSpPr>
            <xdr:cNvPr id="32866" name="Check Box 98" hidden="1">
              <a:extLst>
                <a:ext uri="{63B3BB69-23CF-44E3-9099-C40C66FF867C}">
                  <a14:compatExt spid="_x0000_s32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11</xdr:row>
          <xdr:rowOff>142875</xdr:rowOff>
        </xdr:from>
        <xdr:to>
          <xdr:col>8</xdr:col>
          <xdr:colOff>857250</xdr:colOff>
          <xdr:row>12</xdr:row>
          <xdr:rowOff>161925</xdr:rowOff>
        </xdr:to>
        <xdr:sp macro="" textlink="">
          <xdr:nvSpPr>
            <xdr:cNvPr id="32867" name="Check Box 99" hidden="1">
              <a:extLst>
                <a:ext uri="{63B3BB69-23CF-44E3-9099-C40C66FF867C}">
                  <a14:compatExt spid="_x0000_s32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12</xdr:row>
          <xdr:rowOff>161925</xdr:rowOff>
        </xdr:from>
        <xdr:to>
          <xdr:col>8</xdr:col>
          <xdr:colOff>819150</xdr:colOff>
          <xdr:row>13</xdr:row>
          <xdr:rowOff>180975</xdr:rowOff>
        </xdr:to>
        <xdr:sp macro="" textlink="">
          <xdr:nvSpPr>
            <xdr:cNvPr id="32868" name="Check Box 100" hidden="1">
              <a:extLst>
                <a:ext uri="{63B3BB69-23CF-44E3-9099-C40C66FF867C}">
                  <a14:compatExt spid="_x0000_s32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13</xdr:row>
          <xdr:rowOff>152400</xdr:rowOff>
        </xdr:from>
        <xdr:to>
          <xdr:col>8</xdr:col>
          <xdr:colOff>828675</xdr:colOff>
          <xdr:row>14</xdr:row>
          <xdr:rowOff>161925</xdr:rowOff>
        </xdr:to>
        <xdr:sp macro="" textlink="">
          <xdr:nvSpPr>
            <xdr:cNvPr id="32869" name="Check Box 101" hidden="1">
              <a:extLst>
                <a:ext uri="{63B3BB69-23CF-44E3-9099-C40C66FF867C}">
                  <a14:compatExt spid="_x0000_s32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14</xdr:row>
          <xdr:rowOff>152400</xdr:rowOff>
        </xdr:from>
        <xdr:to>
          <xdr:col>8</xdr:col>
          <xdr:colOff>800100</xdr:colOff>
          <xdr:row>15</xdr:row>
          <xdr:rowOff>161925</xdr:rowOff>
        </xdr:to>
        <xdr:sp macro="" textlink="">
          <xdr:nvSpPr>
            <xdr:cNvPr id="32870" name="Check Box 102" hidden="1">
              <a:extLst>
                <a:ext uri="{63B3BB69-23CF-44E3-9099-C40C66FF867C}">
                  <a14:compatExt spid="_x0000_s32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15</xdr:row>
          <xdr:rowOff>171450</xdr:rowOff>
        </xdr:from>
        <xdr:to>
          <xdr:col>8</xdr:col>
          <xdr:colOff>847725</xdr:colOff>
          <xdr:row>17</xdr:row>
          <xdr:rowOff>0</xdr:rowOff>
        </xdr:to>
        <xdr:sp macro="" textlink="">
          <xdr:nvSpPr>
            <xdr:cNvPr id="32871" name="Check Box 103" hidden="1">
              <a:extLst>
                <a:ext uri="{63B3BB69-23CF-44E3-9099-C40C66FF867C}">
                  <a14:compatExt spid="_x0000_s32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16</xdr:row>
          <xdr:rowOff>161925</xdr:rowOff>
        </xdr:from>
        <xdr:to>
          <xdr:col>8</xdr:col>
          <xdr:colOff>876300</xdr:colOff>
          <xdr:row>17</xdr:row>
          <xdr:rowOff>161925</xdr:rowOff>
        </xdr:to>
        <xdr:sp macro="" textlink="">
          <xdr:nvSpPr>
            <xdr:cNvPr id="32872" name="Check Box 104" hidden="1">
              <a:extLst>
                <a:ext uri="{63B3BB69-23CF-44E3-9099-C40C66FF867C}">
                  <a14:compatExt spid="_x0000_s32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17</xdr:row>
          <xdr:rowOff>152400</xdr:rowOff>
        </xdr:from>
        <xdr:to>
          <xdr:col>8</xdr:col>
          <xdr:colOff>847725</xdr:colOff>
          <xdr:row>18</xdr:row>
          <xdr:rowOff>161925</xdr:rowOff>
        </xdr:to>
        <xdr:sp macro="" textlink="">
          <xdr:nvSpPr>
            <xdr:cNvPr id="32873" name="Check Box 105" hidden="1">
              <a:extLst>
                <a:ext uri="{63B3BB69-23CF-44E3-9099-C40C66FF867C}">
                  <a14:compatExt spid="_x0000_s32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18</xdr:row>
          <xdr:rowOff>161925</xdr:rowOff>
        </xdr:from>
        <xdr:to>
          <xdr:col>8</xdr:col>
          <xdr:colOff>819150</xdr:colOff>
          <xdr:row>19</xdr:row>
          <xdr:rowOff>171450</xdr:rowOff>
        </xdr:to>
        <xdr:sp macro="" textlink="">
          <xdr:nvSpPr>
            <xdr:cNvPr id="32874" name="Check Box 106" hidden="1">
              <a:extLst>
                <a:ext uri="{63B3BB69-23CF-44E3-9099-C40C66FF867C}">
                  <a14:compatExt spid="_x0000_s32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19</xdr:row>
          <xdr:rowOff>180975</xdr:rowOff>
        </xdr:from>
        <xdr:to>
          <xdr:col>8</xdr:col>
          <xdr:colOff>790575</xdr:colOff>
          <xdr:row>20</xdr:row>
          <xdr:rowOff>180975</xdr:rowOff>
        </xdr:to>
        <xdr:sp macro="" textlink="">
          <xdr:nvSpPr>
            <xdr:cNvPr id="32875" name="Check Box 107" hidden="1">
              <a:extLst>
                <a:ext uri="{63B3BB69-23CF-44E3-9099-C40C66FF867C}">
                  <a14:compatExt spid="_x0000_s32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20</xdr:row>
          <xdr:rowOff>142875</xdr:rowOff>
        </xdr:from>
        <xdr:to>
          <xdr:col>8</xdr:col>
          <xdr:colOff>819150</xdr:colOff>
          <xdr:row>21</xdr:row>
          <xdr:rowOff>161925</xdr:rowOff>
        </xdr:to>
        <xdr:sp macro="" textlink="">
          <xdr:nvSpPr>
            <xdr:cNvPr id="32876" name="Check Box 108" hidden="1">
              <a:extLst>
                <a:ext uri="{63B3BB69-23CF-44E3-9099-C40C66FF867C}">
                  <a14:compatExt spid="_x0000_s32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21</xdr:row>
          <xdr:rowOff>142875</xdr:rowOff>
        </xdr:from>
        <xdr:to>
          <xdr:col>8</xdr:col>
          <xdr:colOff>847725</xdr:colOff>
          <xdr:row>22</xdr:row>
          <xdr:rowOff>180975</xdr:rowOff>
        </xdr:to>
        <xdr:sp macro="" textlink="">
          <xdr:nvSpPr>
            <xdr:cNvPr id="32877" name="Check Box 109" hidden="1">
              <a:extLst>
                <a:ext uri="{63B3BB69-23CF-44E3-9099-C40C66FF867C}">
                  <a14:compatExt spid="_x0000_s32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22</xdr:row>
          <xdr:rowOff>142875</xdr:rowOff>
        </xdr:from>
        <xdr:to>
          <xdr:col>8</xdr:col>
          <xdr:colOff>847725</xdr:colOff>
          <xdr:row>23</xdr:row>
          <xdr:rowOff>171450</xdr:rowOff>
        </xdr:to>
        <xdr:sp macro="" textlink="">
          <xdr:nvSpPr>
            <xdr:cNvPr id="32878" name="Check Box 110" hidden="1">
              <a:extLst>
                <a:ext uri="{63B3BB69-23CF-44E3-9099-C40C66FF867C}">
                  <a14:compatExt spid="_x0000_s32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23</xdr:row>
          <xdr:rowOff>161925</xdr:rowOff>
        </xdr:from>
        <xdr:to>
          <xdr:col>8</xdr:col>
          <xdr:colOff>847725</xdr:colOff>
          <xdr:row>24</xdr:row>
          <xdr:rowOff>180975</xdr:rowOff>
        </xdr:to>
        <xdr:sp macro="" textlink="">
          <xdr:nvSpPr>
            <xdr:cNvPr id="32879" name="Check Box 111" hidden="1">
              <a:extLst>
                <a:ext uri="{63B3BB69-23CF-44E3-9099-C40C66FF867C}">
                  <a14:compatExt spid="_x0000_s32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24</xdr:row>
          <xdr:rowOff>152400</xdr:rowOff>
        </xdr:from>
        <xdr:to>
          <xdr:col>8</xdr:col>
          <xdr:colOff>828675</xdr:colOff>
          <xdr:row>25</xdr:row>
          <xdr:rowOff>161925</xdr:rowOff>
        </xdr:to>
        <xdr:sp macro="" textlink="">
          <xdr:nvSpPr>
            <xdr:cNvPr id="32880" name="Check Box 112" hidden="1">
              <a:extLst>
                <a:ext uri="{63B3BB69-23CF-44E3-9099-C40C66FF867C}">
                  <a14:compatExt spid="_x0000_s32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25</xdr:row>
          <xdr:rowOff>161925</xdr:rowOff>
        </xdr:from>
        <xdr:to>
          <xdr:col>8</xdr:col>
          <xdr:colOff>809625</xdr:colOff>
          <xdr:row>26</xdr:row>
          <xdr:rowOff>171450</xdr:rowOff>
        </xdr:to>
        <xdr:sp macro="" textlink="">
          <xdr:nvSpPr>
            <xdr:cNvPr id="32881" name="Check Box 113" hidden="1">
              <a:extLst>
                <a:ext uri="{63B3BB69-23CF-44E3-9099-C40C66FF867C}">
                  <a14:compatExt spid="_x0000_s3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5</xdr:row>
          <xdr:rowOff>161925</xdr:rowOff>
        </xdr:from>
        <xdr:to>
          <xdr:col>8</xdr:col>
          <xdr:colOff>942975</xdr:colOff>
          <xdr:row>6</xdr:row>
          <xdr:rowOff>171450</xdr:rowOff>
        </xdr:to>
        <xdr:sp macro="" textlink="">
          <xdr:nvSpPr>
            <xdr:cNvPr id="32882" name="Check Box 114" hidden="1">
              <a:extLst>
                <a:ext uri="{63B3BB69-23CF-44E3-9099-C40C66FF867C}">
                  <a14:compatExt spid="_x0000_s32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</xdr:row>
          <xdr:rowOff>142875</xdr:rowOff>
        </xdr:from>
        <xdr:to>
          <xdr:col>8</xdr:col>
          <xdr:colOff>914400</xdr:colOff>
          <xdr:row>5</xdr:row>
          <xdr:rowOff>171450</xdr:rowOff>
        </xdr:to>
        <xdr:sp macro="" textlink="">
          <xdr:nvSpPr>
            <xdr:cNvPr id="32883" name="Check Box 115" hidden="1">
              <a:extLst>
                <a:ext uri="{63B3BB69-23CF-44E3-9099-C40C66FF867C}">
                  <a14:compatExt spid="_x0000_s32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</xdr:row>
          <xdr:rowOff>142875</xdr:rowOff>
        </xdr:from>
        <xdr:to>
          <xdr:col>8</xdr:col>
          <xdr:colOff>914400</xdr:colOff>
          <xdr:row>4</xdr:row>
          <xdr:rowOff>171450</xdr:rowOff>
        </xdr:to>
        <xdr:sp macro="" textlink="">
          <xdr:nvSpPr>
            <xdr:cNvPr id="32884" name="Check Box 116" hidden="1">
              <a:extLst>
                <a:ext uri="{63B3BB69-23CF-44E3-9099-C40C66FF867C}">
                  <a14:compatExt spid="_x0000_s32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27</xdr:row>
          <xdr:rowOff>9525</xdr:rowOff>
        </xdr:from>
        <xdr:to>
          <xdr:col>8</xdr:col>
          <xdr:colOff>790575</xdr:colOff>
          <xdr:row>28</xdr:row>
          <xdr:rowOff>9525</xdr:rowOff>
        </xdr:to>
        <xdr:sp macro="" textlink="">
          <xdr:nvSpPr>
            <xdr:cNvPr id="32885" name="Check Box 117" hidden="1">
              <a:extLst>
                <a:ext uri="{63B3BB69-23CF-44E3-9099-C40C66FF867C}">
                  <a14:compatExt spid="_x0000_s32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27</xdr:row>
          <xdr:rowOff>180975</xdr:rowOff>
        </xdr:from>
        <xdr:to>
          <xdr:col>8</xdr:col>
          <xdr:colOff>819150</xdr:colOff>
          <xdr:row>29</xdr:row>
          <xdr:rowOff>9525</xdr:rowOff>
        </xdr:to>
        <xdr:sp macro="" textlink="">
          <xdr:nvSpPr>
            <xdr:cNvPr id="32886" name="Check Box 118" hidden="1">
              <a:extLst>
                <a:ext uri="{63B3BB69-23CF-44E3-9099-C40C66FF867C}">
                  <a14:compatExt spid="_x0000_s32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28</xdr:row>
          <xdr:rowOff>161925</xdr:rowOff>
        </xdr:from>
        <xdr:to>
          <xdr:col>8</xdr:col>
          <xdr:colOff>847725</xdr:colOff>
          <xdr:row>30</xdr:row>
          <xdr:rowOff>9525</xdr:rowOff>
        </xdr:to>
        <xdr:sp macro="" textlink="">
          <xdr:nvSpPr>
            <xdr:cNvPr id="32887" name="Check Box 119" hidden="1">
              <a:extLst>
                <a:ext uri="{63B3BB69-23CF-44E3-9099-C40C66FF867C}">
                  <a14:compatExt spid="_x0000_s32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29</xdr:row>
          <xdr:rowOff>161925</xdr:rowOff>
        </xdr:from>
        <xdr:to>
          <xdr:col>8</xdr:col>
          <xdr:colOff>847725</xdr:colOff>
          <xdr:row>31</xdr:row>
          <xdr:rowOff>0</xdr:rowOff>
        </xdr:to>
        <xdr:sp macro="" textlink="">
          <xdr:nvSpPr>
            <xdr:cNvPr id="32888" name="Check Box 120" hidden="1">
              <a:extLst>
                <a:ext uri="{63B3BB69-23CF-44E3-9099-C40C66FF867C}">
                  <a14:compatExt spid="_x0000_s3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30</xdr:row>
          <xdr:rowOff>180975</xdr:rowOff>
        </xdr:from>
        <xdr:to>
          <xdr:col>8</xdr:col>
          <xdr:colOff>847725</xdr:colOff>
          <xdr:row>32</xdr:row>
          <xdr:rowOff>9525</xdr:rowOff>
        </xdr:to>
        <xdr:sp macro="" textlink="">
          <xdr:nvSpPr>
            <xdr:cNvPr id="32889" name="Check Box 121" hidden="1">
              <a:extLst>
                <a:ext uri="{63B3BB69-23CF-44E3-9099-C40C66FF867C}">
                  <a14:compatExt spid="_x0000_s32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31</xdr:row>
          <xdr:rowOff>171450</xdr:rowOff>
        </xdr:from>
        <xdr:to>
          <xdr:col>8</xdr:col>
          <xdr:colOff>828675</xdr:colOff>
          <xdr:row>32</xdr:row>
          <xdr:rowOff>180975</xdr:rowOff>
        </xdr:to>
        <xdr:sp macro="" textlink="">
          <xdr:nvSpPr>
            <xdr:cNvPr id="32890" name="Check Box 122" hidden="1">
              <a:extLst>
                <a:ext uri="{63B3BB69-23CF-44E3-9099-C40C66FF867C}">
                  <a14:compatExt spid="_x0000_s32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32</xdr:row>
          <xdr:rowOff>161925</xdr:rowOff>
        </xdr:from>
        <xdr:to>
          <xdr:col>8</xdr:col>
          <xdr:colOff>809625</xdr:colOff>
          <xdr:row>33</xdr:row>
          <xdr:rowOff>171450</xdr:rowOff>
        </xdr:to>
        <xdr:sp macro="" textlink="">
          <xdr:nvSpPr>
            <xdr:cNvPr id="32891" name="Check Box 123" hidden="1">
              <a:extLst>
                <a:ext uri="{63B3BB69-23CF-44E3-9099-C40C66FF867C}">
                  <a14:compatExt spid="_x0000_s32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33</xdr:row>
          <xdr:rowOff>142875</xdr:rowOff>
        </xdr:from>
        <xdr:to>
          <xdr:col>8</xdr:col>
          <xdr:colOff>809625</xdr:colOff>
          <xdr:row>34</xdr:row>
          <xdr:rowOff>152400</xdr:rowOff>
        </xdr:to>
        <xdr:sp macro="" textlink="">
          <xdr:nvSpPr>
            <xdr:cNvPr id="32892" name="Check Box 124" hidden="1">
              <a:extLst>
                <a:ext uri="{63B3BB69-23CF-44E3-9099-C40C66FF867C}">
                  <a14:compatExt spid="_x0000_s32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0</xdr:row>
          <xdr:rowOff>95250</xdr:rowOff>
        </xdr:from>
        <xdr:to>
          <xdr:col>14</xdr:col>
          <xdr:colOff>228600</xdr:colOff>
          <xdr:row>1</xdr:row>
          <xdr:rowOff>171450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171450</xdr:colOff>
      <xdr:row>0</xdr:row>
      <xdr:rowOff>85725</xdr:rowOff>
    </xdr:from>
    <xdr:to>
      <xdr:col>17</xdr:col>
      <xdr:colOff>533400</xdr:colOff>
      <xdr:row>7</xdr:row>
      <xdr:rowOff>180975</xdr:rowOff>
    </xdr:to>
    <xdr:pic>
      <xdr:nvPicPr>
        <xdr:cNvPr id="127" name="Picture 12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9100" y="85725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</xdr:row>
          <xdr:rowOff>180975</xdr:rowOff>
        </xdr:from>
        <xdr:to>
          <xdr:col>7</xdr:col>
          <xdr:colOff>1114425</xdr:colOff>
          <xdr:row>7</xdr:row>
          <xdr:rowOff>180975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</xdr:row>
          <xdr:rowOff>180975</xdr:rowOff>
        </xdr:from>
        <xdr:to>
          <xdr:col>7</xdr:col>
          <xdr:colOff>1038225</xdr:colOff>
          <xdr:row>9</xdr:row>
          <xdr:rowOff>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</xdr:row>
          <xdr:rowOff>180975</xdr:rowOff>
        </xdr:from>
        <xdr:to>
          <xdr:col>7</xdr:col>
          <xdr:colOff>1038225</xdr:colOff>
          <xdr:row>10</xdr:row>
          <xdr:rowOff>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</xdr:row>
          <xdr:rowOff>152400</xdr:rowOff>
        </xdr:from>
        <xdr:to>
          <xdr:col>7</xdr:col>
          <xdr:colOff>1038225</xdr:colOff>
          <xdr:row>10</xdr:row>
          <xdr:rowOff>171450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</xdr:row>
          <xdr:rowOff>152400</xdr:rowOff>
        </xdr:from>
        <xdr:to>
          <xdr:col>7</xdr:col>
          <xdr:colOff>1057275</xdr:colOff>
          <xdr:row>12</xdr:row>
          <xdr:rowOff>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</xdr:row>
          <xdr:rowOff>161925</xdr:rowOff>
        </xdr:from>
        <xdr:to>
          <xdr:col>7</xdr:col>
          <xdr:colOff>1066800</xdr:colOff>
          <xdr:row>12</xdr:row>
          <xdr:rowOff>180975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</xdr:row>
          <xdr:rowOff>180975</xdr:rowOff>
        </xdr:from>
        <xdr:to>
          <xdr:col>7</xdr:col>
          <xdr:colOff>1028700</xdr:colOff>
          <xdr:row>14</xdr:row>
          <xdr:rowOff>9525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</xdr:row>
          <xdr:rowOff>171450</xdr:rowOff>
        </xdr:from>
        <xdr:to>
          <xdr:col>7</xdr:col>
          <xdr:colOff>1038225</xdr:colOff>
          <xdr:row>14</xdr:row>
          <xdr:rowOff>180975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</xdr:row>
          <xdr:rowOff>161925</xdr:rowOff>
        </xdr:from>
        <xdr:to>
          <xdr:col>8</xdr:col>
          <xdr:colOff>200025</xdr:colOff>
          <xdr:row>15</xdr:row>
          <xdr:rowOff>180975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</xdr:row>
          <xdr:rowOff>0</xdr:rowOff>
        </xdr:from>
        <xdr:to>
          <xdr:col>7</xdr:col>
          <xdr:colOff>1057275</xdr:colOff>
          <xdr:row>17</xdr:row>
          <xdr:rowOff>19050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</xdr:row>
          <xdr:rowOff>180975</xdr:rowOff>
        </xdr:from>
        <xdr:to>
          <xdr:col>7</xdr:col>
          <xdr:colOff>1085850</xdr:colOff>
          <xdr:row>17</xdr:row>
          <xdr:rowOff>180975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</xdr:row>
          <xdr:rowOff>171450</xdr:rowOff>
        </xdr:from>
        <xdr:to>
          <xdr:col>7</xdr:col>
          <xdr:colOff>1057275</xdr:colOff>
          <xdr:row>18</xdr:row>
          <xdr:rowOff>180975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</xdr:row>
          <xdr:rowOff>180975</xdr:rowOff>
        </xdr:from>
        <xdr:to>
          <xdr:col>7</xdr:col>
          <xdr:colOff>1028700</xdr:colOff>
          <xdr:row>20</xdr:row>
          <xdr:rowOff>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</xdr:row>
          <xdr:rowOff>9525</xdr:rowOff>
        </xdr:from>
        <xdr:to>
          <xdr:col>7</xdr:col>
          <xdr:colOff>1000125</xdr:colOff>
          <xdr:row>21</xdr:row>
          <xdr:rowOff>9525</xdr:rowOff>
        </xdr:to>
        <xdr:sp macro="" textlink="">
          <xdr:nvSpPr>
            <xdr:cNvPr id="33806" name="Check Box 14" hidden="1">
              <a:extLst>
                <a:ext uri="{63B3BB69-23CF-44E3-9099-C40C66FF867C}">
                  <a14:compatExt spid="_x0000_s3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</xdr:row>
          <xdr:rowOff>161925</xdr:rowOff>
        </xdr:from>
        <xdr:to>
          <xdr:col>7</xdr:col>
          <xdr:colOff>1028700</xdr:colOff>
          <xdr:row>21</xdr:row>
          <xdr:rowOff>180975</xdr:rowOff>
        </xdr:to>
        <xdr:sp macro="" textlink="">
          <xdr:nvSpPr>
            <xdr:cNvPr id="33807" name="Check Box 15" hidden="1">
              <a:extLst>
                <a:ext uri="{63B3BB69-23CF-44E3-9099-C40C66FF867C}">
                  <a14:compatExt spid="_x0000_s33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</xdr:row>
          <xdr:rowOff>161925</xdr:rowOff>
        </xdr:from>
        <xdr:to>
          <xdr:col>7</xdr:col>
          <xdr:colOff>1057275</xdr:colOff>
          <xdr:row>23</xdr:row>
          <xdr:rowOff>9525</xdr:rowOff>
        </xdr:to>
        <xdr:sp macro="" textlink="">
          <xdr:nvSpPr>
            <xdr:cNvPr id="33808" name="Check Box 16" hidden="1">
              <a:extLst>
                <a:ext uri="{63B3BB69-23CF-44E3-9099-C40C66FF867C}">
                  <a14:compatExt spid="_x0000_s33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</xdr:row>
          <xdr:rowOff>161925</xdr:rowOff>
        </xdr:from>
        <xdr:to>
          <xdr:col>7</xdr:col>
          <xdr:colOff>1057275</xdr:colOff>
          <xdr:row>24</xdr:row>
          <xdr:rowOff>0</xdr:rowOff>
        </xdr:to>
        <xdr:sp macro="" textlink="">
          <xdr:nvSpPr>
            <xdr:cNvPr id="33809" name="Check Box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</xdr:row>
          <xdr:rowOff>180975</xdr:rowOff>
        </xdr:from>
        <xdr:to>
          <xdr:col>7</xdr:col>
          <xdr:colOff>1057275</xdr:colOff>
          <xdr:row>25</xdr:row>
          <xdr:rowOff>9525</xdr:rowOff>
        </xdr:to>
        <xdr:sp macro="" textlink="">
          <xdr:nvSpPr>
            <xdr:cNvPr id="33810" name="Check Box 18" hidden="1">
              <a:extLst>
                <a:ext uri="{63B3BB69-23CF-44E3-9099-C40C66FF867C}">
                  <a14:compatExt spid="_x0000_s33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</xdr:row>
          <xdr:rowOff>171450</xdr:rowOff>
        </xdr:from>
        <xdr:to>
          <xdr:col>7</xdr:col>
          <xdr:colOff>1038225</xdr:colOff>
          <xdr:row>25</xdr:row>
          <xdr:rowOff>180975</xdr:rowOff>
        </xdr:to>
        <xdr:sp macro="" textlink="">
          <xdr:nvSpPr>
            <xdr:cNvPr id="33811" name="Check Box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25</xdr:row>
          <xdr:rowOff>180975</xdr:rowOff>
        </xdr:from>
        <xdr:to>
          <xdr:col>7</xdr:col>
          <xdr:colOff>1019175</xdr:colOff>
          <xdr:row>27</xdr:row>
          <xdr:rowOff>0</xdr:rowOff>
        </xdr:to>
        <xdr:sp macro="" textlink="">
          <xdr:nvSpPr>
            <xdr:cNvPr id="33812" name="Check Box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</xdr:row>
          <xdr:rowOff>180975</xdr:rowOff>
        </xdr:from>
        <xdr:to>
          <xdr:col>7</xdr:col>
          <xdr:colOff>1152525</xdr:colOff>
          <xdr:row>7</xdr:row>
          <xdr:rowOff>0</xdr:rowOff>
        </xdr:to>
        <xdr:sp macro="" textlink="">
          <xdr:nvSpPr>
            <xdr:cNvPr id="33813" name="Check Box 21" hidden="1">
              <a:extLst>
                <a:ext uri="{63B3BB69-23CF-44E3-9099-C40C66FF867C}">
                  <a14:compatExt spid="_x0000_s33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</xdr:row>
          <xdr:rowOff>161925</xdr:rowOff>
        </xdr:from>
        <xdr:to>
          <xdr:col>7</xdr:col>
          <xdr:colOff>1123950</xdr:colOff>
          <xdr:row>6</xdr:row>
          <xdr:rowOff>0</xdr:rowOff>
        </xdr:to>
        <xdr:sp macro="" textlink="">
          <xdr:nvSpPr>
            <xdr:cNvPr id="33814" name="Check Box 22" hidden="1">
              <a:extLst>
                <a:ext uri="{63B3BB69-23CF-44E3-9099-C40C66FF867C}">
                  <a14:compatExt spid="_x0000_s33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5</xdr:row>
          <xdr:rowOff>171450</xdr:rowOff>
        </xdr:from>
        <xdr:to>
          <xdr:col>8</xdr:col>
          <xdr:colOff>914400</xdr:colOff>
          <xdr:row>7</xdr:row>
          <xdr:rowOff>0</xdr:rowOff>
        </xdr:to>
        <xdr:sp macro="" textlink="">
          <xdr:nvSpPr>
            <xdr:cNvPr id="33815" name="Check Box 23" hidden="1">
              <a:extLst>
                <a:ext uri="{63B3BB69-23CF-44E3-9099-C40C66FF867C}">
                  <a14:compatExt spid="_x0000_s33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6</xdr:row>
          <xdr:rowOff>180975</xdr:rowOff>
        </xdr:from>
        <xdr:to>
          <xdr:col>8</xdr:col>
          <xdr:colOff>914400</xdr:colOff>
          <xdr:row>8</xdr:row>
          <xdr:rowOff>9525</xdr:rowOff>
        </xdr:to>
        <xdr:sp macro="" textlink="">
          <xdr:nvSpPr>
            <xdr:cNvPr id="33816" name="Check Box 24" hidden="1">
              <a:extLst>
                <a:ext uri="{63B3BB69-23CF-44E3-9099-C40C66FF867C}">
                  <a14:compatExt spid="_x0000_s33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7</xdr:row>
          <xdr:rowOff>171450</xdr:rowOff>
        </xdr:from>
        <xdr:to>
          <xdr:col>8</xdr:col>
          <xdr:colOff>914400</xdr:colOff>
          <xdr:row>9</xdr:row>
          <xdr:rowOff>0</xdr:rowOff>
        </xdr:to>
        <xdr:sp macro="" textlink="">
          <xdr:nvSpPr>
            <xdr:cNvPr id="33817" name="Check Box 25" hidden="1">
              <a:extLst>
                <a:ext uri="{63B3BB69-23CF-44E3-9099-C40C66FF867C}">
                  <a14:compatExt spid="_x0000_s3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9</xdr:row>
          <xdr:rowOff>0</xdr:rowOff>
        </xdr:from>
        <xdr:to>
          <xdr:col>8</xdr:col>
          <xdr:colOff>914400</xdr:colOff>
          <xdr:row>10</xdr:row>
          <xdr:rowOff>19050</xdr:rowOff>
        </xdr:to>
        <xdr:sp macro="" textlink="">
          <xdr:nvSpPr>
            <xdr:cNvPr id="33818" name="Check Box 26" hidden="1">
              <a:extLst>
                <a:ext uri="{63B3BB69-23CF-44E3-9099-C40C66FF867C}">
                  <a14:compatExt spid="_x0000_s33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10</xdr:row>
          <xdr:rowOff>180975</xdr:rowOff>
        </xdr:from>
        <xdr:to>
          <xdr:col>8</xdr:col>
          <xdr:colOff>914400</xdr:colOff>
          <xdr:row>12</xdr:row>
          <xdr:rowOff>0</xdr:rowOff>
        </xdr:to>
        <xdr:sp macro="" textlink="">
          <xdr:nvSpPr>
            <xdr:cNvPr id="33819" name="Check Box 27" hidden="1">
              <a:extLst>
                <a:ext uri="{63B3BB69-23CF-44E3-9099-C40C66FF867C}">
                  <a14:compatExt spid="_x0000_s33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11</xdr:row>
          <xdr:rowOff>180975</xdr:rowOff>
        </xdr:from>
        <xdr:to>
          <xdr:col>8</xdr:col>
          <xdr:colOff>914400</xdr:colOff>
          <xdr:row>13</xdr:row>
          <xdr:rowOff>9525</xdr:rowOff>
        </xdr:to>
        <xdr:sp macro="" textlink="">
          <xdr:nvSpPr>
            <xdr:cNvPr id="33820" name="Check Box 28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12</xdr:row>
          <xdr:rowOff>171450</xdr:rowOff>
        </xdr:from>
        <xdr:to>
          <xdr:col>8</xdr:col>
          <xdr:colOff>914400</xdr:colOff>
          <xdr:row>14</xdr:row>
          <xdr:rowOff>0</xdr:rowOff>
        </xdr:to>
        <xdr:sp macro="" textlink="">
          <xdr:nvSpPr>
            <xdr:cNvPr id="33821" name="Check Box 29" hidden="1">
              <a:extLst>
                <a:ext uri="{63B3BB69-23CF-44E3-9099-C40C66FF867C}">
                  <a14:compatExt spid="_x0000_s33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13</xdr:row>
          <xdr:rowOff>180975</xdr:rowOff>
        </xdr:from>
        <xdr:to>
          <xdr:col>8</xdr:col>
          <xdr:colOff>914400</xdr:colOff>
          <xdr:row>15</xdr:row>
          <xdr:rowOff>9525</xdr:rowOff>
        </xdr:to>
        <xdr:sp macro="" textlink="">
          <xdr:nvSpPr>
            <xdr:cNvPr id="33822" name="Check Box 30" hidden="1">
              <a:extLst>
                <a:ext uri="{63B3BB69-23CF-44E3-9099-C40C66FF867C}">
                  <a14:compatExt spid="_x0000_s33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14</xdr:row>
          <xdr:rowOff>161925</xdr:rowOff>
        </xdr:from>
        <xdr:to>
          <xdr:col>8</xdr:col>
          <xdr:colOff>914400</xdr:colOff>
          <xdr:row>15</xdr:row>
          <xdr:rowOff>180975</xdr:rowOff>
        </xdr:to>
        <xdr:sp macro="" textlink="">
          <xdr:nvSpPr>
            <xdr:cNvPr id="33823" name="Check Box 31" hidden="1">
              <a:extLst>
                <a:ext uri="{63B3BB69-23CF-44E3-9099-C40C66FF867C}">
                  <a14:compatExt spid="_x0000_s33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15</xdr:row>
          <xdr:rowOff>161925</xdr:rowOff>
        </xdr:from>
        <xdr:to>
          <xdr:col>8</xdr:col>
          <xdr:colOff>914400</xdr:colOff>
          <xdr:row>16</xdr:row>
          <xdr:rowOff>180975</xdr:rowOff>
        </xdr:to>
        <xdr:sp macro="" textlink="">
          <xdr:nvSpPr>
            <xdr:cNvPr id="33824" name="Check Box 32" hidden="1">
              <a:extLst>
                <a:ext uri="{63B3BB69-23CF-44E3-9099-C40C66FF867C}">
                  <a14:compatExt spid="_x0000_s33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17</xdr:row>
          <xdr:rowOff>0</xdr:rowOff>
        </xdr:from>
        <xdr:to>
          <xdr:col>8</xdr:col>
          <xdr:colOff>914400</xdr:colOff>
          <xdr:row>18</xdr:row>
          <xdr:rowOff>19050</xdr:rowOff>
        </xdr:to>
        <xdr:sp macro="" textlink="">
          <xdr:nvSpPr>
            <xdr:cNvPr id="33825" name="Check Box 33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17</xdr:row>
          <xdr:rowOff>180975</xdr:rowOff>
        </xdr:from>
        <xdr:to>
          <xdr:col>8</xdr:col>
          <xdr:colOff>914400</xdr:colOff>
          <xdr:row>19</xdr:row>
          <xdr:rowOff>9525</xdr:rowOff>
        </xdr:to>
        <xdr:sp macro="" textlink="">
          <xdr:nvSpPr>
            <xdr:cNvPr id="33826" name="Check Box 34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18</xdr:row>
          <xdr:rowOff>171450</xdr:rowOff>
        </xdr:from>
        <xdr:to>
          <xdr:col>8</xdr:col>
          <xdr:colOff>914400</xdr:colOff>
          <xdr:row>20</xdr:row>
          <xdr:rowOff>0</xdr:rowOff>
        </xdr:to>
        <xdr:sp macro="" textlink="">
          <xdr:nvSpPr>
            <xdr:cNvPr id="33827" name="Check Box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19</xdr:row>
          <xdr:rowOff>161925</xdr:rowOff>
        </xdr:from>
        <xdr:to>
          <xdr:col>8</xdr:col>
          <xdr:colOff>914400</xdr:colOff>
          <xdr:row>20</xdr:row>
          <xdr:rowOff>180975</xdr:rowOff>
        </xdr:to>
        <xdr:sp macro="" textlink="">
          <xdr:nvSpPr>
            <xdr:cNvPr id="33828" name="Check Box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20</xdr:row>
          <xdr:rowOff>171450</xdr:rowOff>
        </xdr:from>
        <xdr:to>
          <xdr:col>8</xdr:col>
          <xdr:colOff>914400</xdr:colOff>
          <xdr:row>22</xdr:row>
          <xdr:rowOff>0</xdr:rowOff>
        </xdr:to>
        <xdr:sp macro="" textlink="">
          <xdr:nvSpPr>
            <xdr:cNvPr id="33829" name="Check Box 37" hidden="1">
              <a:extLst>
                <a:ext uri="{63B3BB69-23CF-44E3-9099-C40C66FF867C}">
                  <a14:compatExt spid="_x0000_s33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21</xdr:row>
          <xdr:rowOff>161925</xdr:rowOff>
        </xdr:from>
        <xdr:to>
          <xdr:col>8</xdr:col>
          <xdr:colOff>914400</xdr:colOff>
          <xdr:row>22</xdr:row>
          <xdr:rowOff>180975</xdr:rowOff>
        </xdr:to>
        <xdr:sp macro="" textlink="">
          <xdr:nvSpPr>
            <xdr:cNvPr id="33830" name="Check Box 38" hidden="1">
              <a:extLst>
                <a:ext uri="{63B3BB69-23CF-44E3-9099-C40C66FF867C}">
                  <a14:compatExt spid="_x0000_s33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22</xdr:row>
          <xdr:rowOff>161925</xdr:rowOff>
        </xdr:from>
        <xdr:to>
          <xdr:col>8</xdr:col>
          <xdr:colOff>914400</xdr:colOff>
          <xdr:row>23</xdr:row>
          <xdr:rowOff>180975</xdr:rowOff>
        </xdr:to>
        <xdr:sp macro="" textlink="">
          <xdr:nvSpPr>
            <xdr:cNvPr id="33831" name="Check Box 39" hidden="1">
              <a:extLst>
                <a:ext uri="{63B3BB69-23CF-44E3-9099-C40C66FF867C}">
                  <a14:compatExt spid="_x0000_s33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23</xdr:row>
          <xdr:rowOff>161925</xdr:rowOff>
        </xdr:from>
        <xdr:to>
          <xdr:col>8</xdr:col>
          <xdr:colOff>914400</xdr:colOff>
          <xdr:row>24</xdr:row>
          <xdr:rowOff>180975</xdr:rowOff>
        </xdr:to>
        <xdr:sp macro="" textlink="">
          <xdr:nvSpPr>
            <xdr:cNvPr id="33832" name="Check Box 40" hidden="1">
              <a:extLst>
                <a:ext uri="{63B3BB69-23CF-44E3-9099-C40C66FF867C}">
                  <a14:compatExt spid="_x0000_s33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25</xdr:row>
          <xdr:rowOff>0</xdr:rowOff>
        </xdr:from>
        <xdr:to>
          <xdr:col>8</xdr:col>
          <xdr:colOff>914400</xdr:colOff>
          <xdr:row>26</xdr:row>
          <xdr:rowOff>19050</xdr:rowOff>
        </xdr:to>
        <xdr:sp macro="" textlink="">
          <xdr:nvSpPr>
            <xdr:cNvPr id="33833" name="Check Box 41" hidden="1">
              <a:extLst>
                <a:ext uri="{63B3BB69-23CF-44E3-9099-C40C66FF867C}">
                  <a14:compatExt spid="_x0000_s33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26</xdr:row>
          <xdr:rowOff>9525</xdr:rowOff>
        </xdr:from>
        <xdr:to>
          <xdr:col>8</xdr:col>
          <xdr:colOff>914400</xdr:colOff>
          <xdr:row>27</xdr:row>
          <xdr:rowOff>28575</xdr:rowOff>
        </xdr:to>
        <xdr:sp macro="" textlink="">
          <xdr:nvSpPr>
            <xdr:cNvPr id="33834" name="Check Box 42" hidden="1">
              <a:extLst>
                <a:ext uri="{63B3BB69-23CF-44E3-9099-C40C66FF867C}">
                  <a14:compatExt spid="_x0000_s33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171450</xdr:rowOff>
        </xdr:from>
        <xdr:to>
          <xdr:col>8</xdr:col>
          <xdr:colOff>962025</xdr:colOff>
          <xdr:row>6</xdr:row>
          <xdr:rowOff>0</xdr:rowOff>
        </xdr:to>
        <xdr:sp macro="" textlink="">
          <xdr:nvSpPr>
            <xdr:cNvPr id="33835" name="Check Box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3</xdr:row>
          <xdr:rowOff>161925</xdr:rowOff>
        </xdr:from>
        <xdr:to>
          <xdr:col>8</xdr:col>
          <xdr:colOff>1085850</xdr:colOff>
          <xdr:row>5</xdr:row>
          <xdr:rowOff>9525</xdr:rowOff>
        </xdr:to>
        <xdr:sp macro="" textlink="">
          <xdr:nvSpPr>
            <xdr:cNvPr id="33836" name="Check Box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</xdr:row>
          <xdr:rowOff>161925</xdr:rowOff>
        </xdr:from>
        <xdr:to>
          <xdr:col>7</xdr:col>
          <xdr:colOff>1123950</xdr:colOff>
          <xdr:row>5</xdr:row>
          <xdr:rowOff>0</xdr:rowOff>
        </xdr:to>
        <xdr:sp macro="" textlink="">
          <xdr:nvSpPr>
            <xdr:cNvPr id="33837" name="Check Box 45" hidden="1">
              <a:extLst>
                <a:ext uri="{63B3BB69-23CF-44E3-9099-C40C66FF867C}">
                  <a14:compatExt spid="_x0000_s33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9</xdr:row>
          <xdr:rowOff>171450</xdr:rowOff>
        </xdr:from>
        <xdr:to>
          <xdr:col>8</xdr:col>
          <xdr:colOff>914400</xdr:colOff>
          <xdr:row>11</xdr:row>
          <xdr:rowOff>0</xdr:rowOff>
        </xdr:to>
        <xdr:sp macro="" textlink="">
          <xdr:nvSpPr>
            <xdr:cNvPr id="33838" name="Check Box 46" hidden="1">
              <a:extLst>
                <a:ext uri="{63B3BB69-23CF-44E3-9099-C40C66FF867C}">
                  <a14:compatExt spid="_x0000_s33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27</xdr:row>
          <xdr:rowOff>28575</xdr:rowOff>
        </xdr:from>
        <xdr:to>
          <xdr:col>7</xdr:col>
          <xdr:colOff>990600</xdr:colOff>
          <xdr:row>28</xdr:row>
          <xdr:rowOff>28575</xdr:rowOff>
        </xdr:to>
        <xdr:sp macro="" textlink="">
          <xdr:nvSpPr>
            <xdr:cNvPr id="33839" name="Check Box 47" hidden="1">
              <a:extLst>
                <a:ext uri="{63B3BB69-23CF-44E3-9099-C40C66FF867C}">
                  <a14:compatExt spid="_x0000_s33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704850</xdr:colOff>
          <xdr:row>28</xdr:row>
          <xdr:rowOff>9525</xdr:rowOff>
        </xdr:from>
        <xdr:to>
          <xdr:col>7</xdr:col>
          <xdr:colOff>1009650</xdr:colOff>
          <xdr:row>29</xdr:row>
          <xdr:rowOff>28575</xdr:rowOff>
        </xdr:to>
        <xdr:sp macro="" textlink="">
          <xdr:nvSpPr>
            <xdr:cNvPr id="33840" name="Check Box 48" hidden="1">
              <a:extLst>
                <a:ext uri="{63B3BB69-23CF-44E3-9099-C40C66FF867C}">
                  <a14:compatExt spid="_x0000_s33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28</xdr:row>
          <xdr:rowOff>180975</xdr:rowOff>
        </xdr:from>
        <xdr:to>
          <xdr:col>7</xdr:col>
          <xdr:colOff>1047750</xdr:colOff>
          <xdr:row>30</xdr:row>
          <xdr:rowOff>28575</xdr:rowOff>
        </xdr:to>
        <xdr:sp macro="" textlink="">
          <xdr:nvSpPr>
            <xdr:cNvPr id="33841" name="Check Box 49" hidden="1">
              <a:extLst>
                <a:ext uri="{63B3BB69-23CF-44E3-9099-C40C66FF867C}">
                  <a14:compatExt spid="_x0000_s3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29</xdr:row>
          <xdr:rowOff>180975</xdr:rowOff>
        </xdr:from>
        <xdr:to>
          <xdr:col>7</xdr:col>
          <xdr:colOff>1047750</xdr:colOff>
          <xdr:row>31</xdr:row>
          <xdr:rowOff>19050</xdr:rowOff>
        </xdr:to>
        <xdr:sp macro="" textlink="">
          <xdr:nvSpPr>
            <xdr:cNvPr id="33842" name="Check Box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31</xdr:row>
          <xdr:rowOff>9525</xdr:rowOff>
        </xdr:from>
        <xdr:to>
          <xdr:col>7</xdr:col>
          <xdr:colOff>1047750</xdr:colOff>
          <xdr:row>32</xdr:row>
          <xdr:rowOff>28575</xdr:rowOff>
        </xdr:to>
        <xdr:sp macro="" textlink="">
          <xdr:nvSpPr>
            <xdr:cNvPr id="33843" name="Check Box 51" hidden="1">
              <a:extLst>
                <a:ext uri="{63B3BB69-23CF-44E3-9099-C40C66FF867C}">
                  <a14:compatExt spid="_x0000_s33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32</xdr:row>
          <xdr:rowOff>0</xdr:rowOff>
        </xdr:from>
        <xdr:to>
          <xdr:col>7</xdr:col>
          <xdr:colOff>1028700</xdr:colOff>
          <xdr:row>33</xdr:row>
          <xdr:rowOff>9525</xdr:rowOff>
        </xdr:to>
        <xdr:sp macro="" textlink="">
          <xdr:nvSpPr>
            <xdr:cNvPr id="33844" name="Check Box 52" hidden="1">
              <a:extLst>
                <a:ext uri="{63B3BB69-23CF-44E3-9099-C40C66FF867C}">
                  <a14:compatExt spid="_x0000_s33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32</xdr:row>
          <xdr:rowOff>180975</xdr:rowOff>
        </xdr:from>
        <xdr:to>
          <xdr:col>7</xdr:col>
          <xdr:colOff>1009650</xdr:colOff>
          <xdr:row>34</xdr:row>
          <xdr:rowOff>0</xdr:rowOff>
        </xdr:to>
        <xdr:sp macro="" textlink="">
          <xdr:nvSpPr>
            <xdr:cNvPr id="33845" name="Check Box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26</xdr:row>
          <xdr:rowOff>180975</xdr:rowOff>
        </xdr:from>
        <xdr:to>
          <xdr:col>8</xdr:col>
          <xdr:colOff>904875</xdr:colOff>
          <xdr:row>28</xdr:row>
          <xdr:rowOff>9525</xdr:rowOff>
        </xdr:to>
        <xdr:sp macro="" textlink="">
          <xdr:nvSpPr>
            <xdr:cNvPr id="33846" name="Check Box 54" hidden="1">
              <a:extLst>
                <a:ext uri="{63B3BB69-23CF-44E3-9099-C40C66FF867C}">
                  <a14:compatExt spid="_x0000_s33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28</xdr:row>
          <xdr:rowOff>0</xdr:rowOff>
        </xdr:from>
        <xdr:to>
          <xdr:col>8</xdr:col>
          <xdr:colOff>904875</xdr:colOff>
          <xdr:row>29</xdr:row>
          <xdr:rowOff>19050</xdr:rowOff>
        </xdr:to>
        <xdr:sp macro="" textlink="">
          <xdr:nvSpPr>
            <xdr:cNvPr id="33847" name="Check Box 55" hidden="1">
              <a:extLst>
                <a:ext uri="{63B3BB69-23CF-44E3-9099-C40C66FF867C}">
                  <a14:compatExt spid="_x0000_s33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28</xdr:row>
          <xdr:rowOff>180975</xdr:rowOff>
        </xdr:from>
        <xdr:to>
          <xdr:col>8</xdr:col>
          <xdr:colOff>904875</xdr:colOff>
          <xdr:row>30</xdr:row>
          <xdr:rowOff>9525</xdr:rowOff>
        </xdr:to>
        <xdr:sp macro="" textlink="">
          <xdr:nvSpPr>
            <xdr:cNvPr id="33848" name="Check Box 56" hidden="1">
              <a:extLst>
                <a:ext uri="{63B3BB69-23CF-44E3-9099-C40C66FF867C}">
                  <a14:compatExt spid="_x0000_s33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29</xdr:row>
          <xdr:rowOff>180975</xdr:rowOff>
        </xdr:from>
        <xdr:to>
          <xdr:col>8</xdr:col>
          <xdr:colOff>904875</xdr:colOff>
          <xdr:row>31</xdr:row>
          <xdr:rowOff>9525</xdr:rowOff>
        </xdr:to>
        <xdr:sp macro="" textlink="">
          <xdr:nvSpPr>
            <xdr:cNvPr id="33849" name="Check Box 57" hidden="1">
              <a:extLst>
                <a:ext uri="{63B3BB69-23CF-44E3-9099-C40C66FF867C}">
                  <a14:compatExt spid="_x0000_s33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30</xdr:row>
          <xdr:rowOff>180975</xdr:rowOff>
        </xdr:from>
        <xdr:to>
          <xdr:col>8</xdr:col>
          <xdr:colOff>904875</xdr:colOff>
          <xdr:row>32</xdr:row>
          <xdr:rowOff>9525</xdr:rowOff>
        </xdr:to>
        <xdr:sp macro="" textlink="">
          <xdr:nvSpPr>
            <xdr:cNvPr id="33850" name="Check Box 58" hidden="1">
              <a:extLst>
                <a:ext uri="{63B3BB69-23CF-44E3-9099-C40C66FF867C}">
                  <a14:compatExt spid="_x0000_s33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32</xdr:row>
          <xdr:rowOff>0</xdr:rowOff>
        </xdr:from>
        <xdr:to>
          <xdr:col>8</xdr:col>
          <xdr:colOff>904875</xdr:colOff>
          <xdr:row>33</xdr:row>
          <xdr:rowOff>19050</xdr:rowOff>
        </xdr:to>
        <xdr:sp macro="" textlink="">
          <xdr:nvSpPr>
            <xdr:cNvPr id="33851" name="Check Box 59" hidden="1">
              <a:extLst>
                <a:ext uri="{63B3BB69-23CF-44E3-9099-C40C66FF867C}">
                  <a14:compatExt spid="_x0000_s33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33</xdr:row>
          <xdr:rowOff>9525</xdr:rowOff>
        </xdr:from>
        <xdr:to>
          <xdr:col>8</xdr:col>
          <xdr:colOff>904875</xdr:colOff>
          <xdr:row>34</xdr:row>
          <xdr:rowOff>28575</xdr:rowOff>
        </xdr:to>
        <xdr:sp macro="" textlink="">
          <xdr:nvSpPr>
            <xdr:cNvPr id="33852" name="Check Box 60" hidden="1">
              <a:extLst>
                <a:ext uri="{63B3BB69-23CF-44E3-9099-C40C66FF867C}">
                  <a14:compatExt spid="_x0000_s33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33</xdr:row>
          <xdr:rowOff>161925</xdr:rowOff>
        </xdr:from>
        <xdr:to>
          <xdr:col>7</xdr:col>
          <xdr:colOff>1009650</xdr:colOff>
          <xdr:row>34</xdr:row>
          <xdr:rowOff>171450</xdr:rowOff>
        </xdr:to>
        <xdr:sp macro="" textlink="">
          <xdr:nvSpPr>
            <xdr:cNvPr id="33853" name="Check Box 61" hidden="1">
              <a:extLst>
                <a:ext uri="{63B3BB69-23CF-44E3-9099-C40C66FF867C}">
                  <a14:compatExt spid="_x0000_s33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33</xdr:row>
          <xdr:rowOff>180975</xdr:rowOff>
        </xdr:from>
        <xdr:to>
          <xdr:col>8</xdr:col>
          <xdr:colOff>904875</xdr:colOff>
          <xdr:row>35</xdr:row>
          <xdr:rowOff>9525</xdr:rowOff>
        </xdr:to>
        <xdr:sp macro="" textlink="">
          <xdr:nvSpPr>
            <xdr:cNvPr id="33854" name="Check Box 62" hidden="1">
              <a:extLst>
                <a:ext uri="{63B3BB69-23CF-44E3-9099-C40C66FF867C}">
                  <a14:compatExt spid="_x0000_s33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114300</xdr:rowOff>
        </xdr:from>
        <xdr:to>
          <xdr:col>13</xdr:col>
          <xdr:colOff>295275</xdr:colOff>
          <xdr:row>2</xdr:row>
          <xdr:rowOff>9525</xdr:rowOff>
        </xdr:to>
        <xdr:sp macro="" textlink="">
          <xdr:nvSpPr>
            <xdr:cNvPr id="33855" name="Button 63" hidden="1">
              <a:extLst>
                <a:ext uri="{63B3BB69-23CF-44E3-9099-C40C66FF867C}">
                  <a14:compatExt spid="_x0000_s33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352425</xdr:colOff>
      <xdr:row>0</xdr:row>
      <xdr:rowOff>133350</xdr:rowOff>
    </xdr:from>
    <xdr:to>
      <xdr:col>17</xdr:col>
      <xdr:colOff>104775</xdr:colOff>
      <xdr:row>8</xdr:row>
      <xdr:rowOff>38100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16050" y="133350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7</xdr:row>
          <xdr:rowOff>9525</xdr:rowOff>
        </xdr:from>
        <xdr:to>
          <xdr:col>7</xdr:col>
          <xdr:colOff>1076325</xdr:colOff>
          <xdr:row>8</xdr:row>
          <xdr:rowOff>9525</xdr:rowOff>
        </xdr:to>
        <xdr:sp macro="" textlink="">
          <xdr:nvSpPr>
            <xdr:cNvPr id="34910" name="Check Box 94" hidden="1">
              <a:extLst>
                <a:ext uri="{63B3BB69-23CF-44E3-9099-C40C66FF867C}">
                  <a14:compatExt spid="_x0000_s34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8</xdr:row>
          <xdr:rowOff>9525</xdr:rowOff>
        </xdr:from>
        <xdr:to>
          <xdr:col>7</xdr:col>
          <xdr:colOff>1000125</xdr:colOff>
          <xdr:row>9</xdr:row>
          <xdr:rowOff>19050</xdr:rowOff>
        </xdr:to>
        <xdr:sp macro="" textlink="">
          <xdr:nvSpPr>
            <xdr:cNvPr id="34911" name="Check Box 95" hidden="1">
              <a:extLst>
                <a:ext uri="{63B3BB69-23CF-44E3-9099-C40C66FF867C}">
                  <a14:compatExt spid="_x0000_s34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9</xdr:row>
          <xdr:rowOff>9525</xdr:rowOff>
        </xdr:from>
        <xdr:to>
          <xdr:col>7</xdr:col>
          <xdr:colOff>1000125</xdr:colOff>
          <xdr:row>10</xdr:row>
          <xdr:rowOff>19050</xdr:rowOff>
        </xdr:to>
        <xdr:sp macro="" textlink="">
          <xdr:nvSpPr>
            <xdr:cNvPr id="34912" name="Check Box 96" hidden="1">
              <a:extLst>
                <a:ext uri="{63B3BB69-23CF-44E3-9099-C40C66FF867C}">
                  <a14:compatExt spid="_x0000_s34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9</xdr:row>
          <xdr:rowOff>171450</xdr:rowOff>
        </xdr:from>
        <xdr:to>
          <xdr:col>7</xdr:col>
          <xdr:colOff>1000125</xdr:colOff>
          <xdr:row>11</xdr:row>
          <xdr:rowOff>0</xdr:rowOff>
        </xdr:to>
        <xdr:sp macro="" textlink="">
          <xdr:nvSpPr>
            <xdr:cNvPr id="34913" name="Check Box 97" hidden="1">
              <a:extLst>
                <a:ext uri="{63B3BB69-23CF-44E3-9099-C40C66FF867C}">
                  <a14:compatExt spid="_x0000_s34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10</xdr:row>
          <xdr:rowOff>171450</xdr:rowOff>
        </xdr:from>
        <xdr:to>
          <xdr:col>7</xdr:col>
          <xdr:colOff>1019175</xdr:colOff>
          <xdr:row>12</xdr:row>
          <xdr:rowOff>19050</xdr:rowOff>
        </xdr:to>
        <xdr:sp macro="" textlink="">
          <xdr:nvSpPr>
            <xdr:cNvPr id="34914" name="Check Box 98" hidden="1">
              <a:extLst>
                <a:ext uri="{63B3BB69-23CF-44E3-9099-C40C66FF867C}">
                  <a14:compatExt spid="_x0000_s34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11</xdr:row>
          <xdr:rowOff>180975</xdr:rowOff>
        </xdr:from>
        <xdr:to>
          <xdr:col>7</xdr:col>
          <xdr:colOff>1028700</xdr:colOff>
          <xdr:row>13</xdr:row>
          <xdr:rowOff>9525</xdr:rowOff>
        </xdr:to>
        <xdr:sp macro="" textlink="">
          <xdr:nvSpPr>
            <xdr:cNvPr id="34915" name="Check Box 99" hidden="1">
              <a:extLst>
                <a:ext uri="{63B3BB69-23CF-44E3-9099-C40C66FF867C}">
                  <a14:compatExt spid="_x0000_s34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13</xdr:row>
          <xdr:rowOff>9525</xdr:rowOff>
        </xdr:from>
        <xdr:to>
          <xdr:col>7</xdr:col>
          <xdr:colOff>990600</xdr:colOff>
          <xdr:row>14</xdr:row>
          <xdr:rowOff>28575</xdr:rowOff>
        </xdr:to>
        <xdr:sp macro="" textlink="">
          <xdr:nvSpPr>
            <xdr:cNvPr id="34916" name="Check Box 100" hidden="1">
              <a:extLst>
                <a:ext uri="{63B3BB69-23CF-44E3-9099-C40C66FF867C}">
                  <a14:compatExt spid="_x0000_s34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14</xdr:row>
          <xdr:rowOff>0</xdr:rowOff>
        </xdr:from>
        <xdr:to>
          <xdr:col>7</xdr:col>
          <xdr:colOff>1000125</xdr:colOff>
          <xdr:row>15</xdr:row>
          <xdr:rowOff>9525</xdr:rowOff>
        </xdr:to>
        <xdr:sp macro="" textlink="">
          <xdr:nvSpPr>
            <xdr:cNvPr id="34917" name="Check Box 101" hidden="1">
              <a:extLst>
                <a:ext uri="{63B3BB69-23CF-44E3-9099-C40C66FF867C}">
                  <a14:compatExt spid="_x0000_s34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14</xdr:row>
          <xdr:rowOff>180975</xdr:rowOff>
        </xdr:from>
        <xdr:to>
          <xdr:col>8</xdr:col>
          <xdr:colOff>266700</xdr:colOff>
          <xdr:row>16</xdr:row>
          <xdr:rowOff>9525</xdr:rowOff>
        </xdr:to>
        <xdr:sp macro="" textlink="">
          <xdr:nvSpPr>
            <xdr:cNvPr id="34918" name="Check Box 102" hidden="1">
              <a:extLst>
                <a:ext uri="{63B3BB69-23CF-44E3-9099-C40C66FF867C}">
                  <a14:compatExt spid="_x0000_s34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16</xdr:row>
          <xdr:rowOff>19050</xdr:rowOff>
        </xdr:from>
        <xdr:to>
          <xdr:col>7</xdr:col>
          <xdr:colOff>1019175</xdr:colOff>
          <xdr:row>17</xdr:row>
          <xdr:rowOff>38100</xdr:rowOff>
        </xdr:to>
        <xdr:sp macro="" textlink="">
          <xdr:nvSpPr>
            <xdr:cNvPr id="34919" name="Check Box 103" hidden="1">
              <a:extLst>
                <a:ext uri="{63B3BB69-23CF-44E3-9099-C40C66FF867C}">
                  <a14:compatExt spid="_x0000_s34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17</xdr:row>
          <xdr:rowOff>9525</xdr:rowOff>
        </xdr:from>
        <xdr:to>
          <xdr:col>7</xdr:col>
          <xdr:colOff>1047750</xdr:colOff>
          <xdr:row>18</xdr:row>
          <xdr:rowOff>9525</xdr:rowOff>
        </xdr:to>
        <xdr:sp macro="" textlink="">
          <xdr:nvSpPr>
            <xdr:cNvPr id="34920" name="Check Box 104" hidden="1">
              <a:extLst>
                <a:ext uri="{63B3BB69-23CF-44E3-9099-C40C66FF867C}">
                  <a14:compatExt spid="_x0000_s34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18</xdr:row>
          <xdr:rowOff>0</xdr:rowOff>
        </xdr:from>
        <xdr:to>
          <xdr:col>7</xdr:col>
          <xdr:colOff>1019175</xdr:colOff>
          <xdr:row>19</xdr:row>
          <xdr:rowOff>9525</xdr:rowOff>
        </xdr:to>
        <xdr:sp macro="" textlink="">
          <xdr:nvSpPr>
            <xdr:cNvPr id="34921" name="Check Box 105" hidden="1">
              <a:extLst>
                <a:ext uri="{63B3BB69-23CF-44E3-9099-C40C66FF867C}">
                  <a14:compatExt spid="_x0000_s34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19</xdr:row>
          <xdr:rowOff>9525</xdr:rowOff>
        </xdr:from>
        <xdr:to>
          <xdr:col>7</xdr:col>
          <xdr:colOff>990600</xdr:colOff>
          <xdr:row>20</xdr:row>
          <xdr:rowOff>19050</xdr:rowOff>
        </xdr:to>
        <xdr:sp macro="" textlink="">
          <xdr:nvSpPr>
            <xdr:cNvPr id="34922" name="Check Box 106" hidden="1">
              <a:extLst>
                <a:ext uri="{63B3BB69-23CF-44E3-9099-C40C66FF867C}">
                  <a14:compatExt spid="_x0000_s34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20</xdr:row>
          <xdr:rowOff>28575</xdr:rowOff>
        </xdr:from>
        <xdr:to>
          <xdr:col>7</xdr:col>
          <xdr:colOff>962025</xdr:colOff>
          <xdr:row>21</xdr:row>
          <xdr:rowOff>28575</xdr:rowOff>
        </xdr:to>
        <xdr:sp macro="" textlink="">
          <xdr:nvSpPr>
            <xdr:cNvPr id="34923" name="Check Box 107" hidden="1">
              <a:extLst>
                <a:ext uri="{63B3BB69-23CF-44E3-9099-C40C66FF867C}">
                  <a14:compatExt spid="_x0000_s34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20</xdr:row>
          <xdr:rowOff>180975</xdr:rowOff>
        </xdr:from>
        <xdr:to>
          <xdr:col>7</xdr:col>
          <xdr:colOff>990600</xdr:colOff>
          <xdr:row>22</xdr:row>
          <xdr:rowOff>9525</xdr:rowOff>
        </xdr:to>
        <xdr:sp macro="" textlink="">
          <xdr:nvSpPr>
            <xdr:cNvPr id="34924" name="Check Box 108" hidden="1">
              <a:extLst>
                <a:ext uri="{63B3BB69-23CF-44E3-9099-C40C66FF867C}">
                  <a14:compatExt spid="_x0000_s34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21</xdr:row>
          <xdr:rowOff>180975</xdr:rowOff>
        </xdr:from>
        <xdr:to>
          <xdr:col>7</xdr:col>
          <xdr:colOff>1019175</xdr:colOff>
          <xdr:row>23</xdr:row>
          <xdr:rowOff>28575</xdr:rowOff>
        </xdr:to>
        <xdr:sp macro="" textlink="">
          <xdr:nvSpPr>
            <xdr:cNvPr id="34925" name="Check Box 109" hidden="1">
              <a:extLst>
                <a:ext uri="{63B3BB69-23CF-44E3-9099-C40C66FF867C}">
                  <a14:compatExt spid="_x0000_s34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22</xdr:row>
          <xdr:rowOff>180975</xdr:rowOff>
        </xdr:from>
        <xdr:to>
          <xdr:col>7</xdr:col>
          <xdr:colOff>1019175</xdr:colOff>
          <xdr:row>24</xdr:row>
          <xdr:rowOff>19050</xdr:rowOff>
        </xdr:to>
        <xdr:sp macro="" textlink="">
          <xdr:nvSpPr>
            <xdr:cNvPr id="34926" name="Check Box 110" hidden="1">
              <a:extLst>
                <a:ext uri="{63B3BB69-23CF-44E3-9099-C40C66FF867C}">
                  <a14:compatExt spid="_x0000_s34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24</xdr:row>
          <xdr:rowOff>9525</xdr:rowOff>
        </xdr:from>
        <xdr:to>
          <xdr:col>7</xdr:col>
          <xdr:colOff>1019175</xdr:colOff>
          <xdr:row>25</xdr:row>
          <xdr:rowOff>28575</xdr:rowOff>
        </xdr:to>
        <xdr:sp macro="" textlink="">
          <xdr:nvSpPr>
            <xdr:cNvPr id="34927" name="Check Box 111" hidden="1">
              <a:extLst>
                <a:ext uri="{63B3BB69-23CF-44E3-9099-C40C66FF867C}">
                  <a14:compatExt spid="_x0000_s34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25</xdr:row>
          <xdr:rowOff>0</xdr:rowOff>
        </xdr:from>
        <xdr:to>
          <xdr:col>7</xdr:col>
          <xdr:colOff>1000125</xdr:colOff>
          <xdr:row>26</xdr:row>
          <xdr:rowOff>9525</xdr:rowOff>
        </xdr:to>
        <xdr:sp macro="" textlink="">
          <xdr:nvSpPr>
            <xdr:cNvPr id="34928" name="Check Box 112" hidden="1">
              <a:extLst>
                <a:ext uri="{63B3BB69-23CF-44E3-9099-C40C66FF867C}">
                  <a14:compatExt spid="_x0000_s34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26</xdr:row>
          <xdr:rowOff>9525</xdr:rowOff>
        </xdr:from>
        <xdr:to>
          <xdr:col>7</xdr:col>
          <xdr:colOff>981075</xdr:colOff>
          <xdr:row>27</xdr:row>
          <xdr:rowOff>19050</xdr:rowOff>
        </xdr:to>
        <xdr:sp macro="" textlink="">
          <xdr:nvSpPr>
            <xdr:cNvPr id="34929" name="Check Box 113" hidden="1">
              <a:extLst>
                <a:ext uri="{63B3BB69-23CF-44E3-9099-C40C66FF867C}">
                  <a14:compatExt spid="_x0000_s3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6</xdr:row>
          <xdr:rowOff>9525</xdr:rowOff>
        </xdr:from>
        <xdr:to>
          <xdr:col>7</xdr:col>
          <xdr:colOff>1114425</xdr:colOff>
          <xdr:row>7</xdr:row>
          <xdr:rowOff>19050</xdr:rowOff>
        </xdr:to>
        <xdr:sp macro="" textlink="">
          <xdr:nvSpPr>
            <xdr:cNvPr id="34930" name="Check Box 114" hidden="1">
              <a:extLst>
                <a:ext uri="{63B3BB69-23CF-44E3-9099-C40C66FF867C}">
                  <a14:compatExt spid="_x0000_s3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4</xdr:row>
          <xdr:rowOff>180975</xdr:rowOff>
        </xdr:from>
        <xdr:to>
          <xdr:col>7</xdr:col>
          <xdr:colOff>1085850</xdr:colOff>
          <xdr:row>6</xdr:row>
          <xdr:rowOff>19050</xdr:rowOff>
        </xdr:to>
        <xdr:sp macro="" textlink="">
          <xdr:nvSpPr>
            <xdr:cNvPr id="34931" name="Check Box 115" hidden="1">
              <a:extLst>
                <a:ext uri="{63B3BB69-23CF-44E3-9099-C40C66FF867C}">
                  <a14:compatExt spid="_x0000_s34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171450</xdr:rowOff>
        </xdr:from>
        <xdr:to>
          <xdr:col>8</xdr:col>
          <xdr:colOff>885825</xdr:colOff>
          <xdr:row>7</xdr:row>
          <xdr:rowOff>0</xdr:rowOff>
        </xdr:to>
        <xdr:sp macro="" textlink="">
          <xdr:nvSpPr>
            <xdr:cNvPr id="34932" name="Check Box 116" hidden="1">
              <a:extLst>
                <a:ext uri="{63B3BB69-23CF-44E3-9099-C40C66FF867C}">
                  <a14:compatExt spid="_x0000_s34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6</xdr:row>
          <xdr:rowOff>180975</xdr:rowOff>
        </xdr:from>
        <xdr:to>
          <xdr:col>8</xdr:col>
          <xdr:colOff>885825</xdr:colOff>
          <xdr:row>8</xdr:row>
          <xdr:rowOff>9525</xdr:rowOff>
        </xdr:to>
        <xdr:sp macro="" textlink="">
          <xdr:nvSpPr>
            <xdr:cNvPr id="34933" name="Check Box 117" hidden="1">
              <a:extLst>
                <a:ext uri="{63B3BB69-23CF-44E3-9099-C40C66FF867C}">
                  <a14:compatExt spid="_x0000_s34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171450</xdr:rowOff>
        </xdr:from>
        <xdr:to>
          <xdr:col>8</xdr:col>
          <xdr:colOff>885825</xdr:colOff>
          <xdr:row>9</xdr:row>
          <xdr:rowOff>0</xdr:rowOff>
        </xdr:to>
        <xdr:sp macro="" textlink="">
          <xdr:nvSpPr>
            <xdr:cNvPr id="34934" name="Check Box 118" hidden="1">
              <a:extLst>
                <a:ext uri="{63B3BB69-23CF-44E3-9099-C40C66FF867C}">
                  <a14:compatExt spid="_x0000_s34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9</xdr:row>
          <xdr:rowOff>0</xdr:rowOff>
        </xdr:from>
        <xdr:to>
          <xdr:col>8</xdr:col>
          <xdr:colOff>885825</xdr:colOff>
          <xdr:row>10</xdr:row>
          <xdr:rowOff>19050</xdr:rowOff>
        </xdr:to>
        <xdr:sp macro="" textlink="">
          <xdr:nvSpPr>
            <xdr:cNvPr id="34935" name="Check Box 119" hidden="1">
              <a:extLst>
                <a:ext uri="{63B3BB69-23CF-44E3-9099-C40C66FF867C}">
                  <a14:compatExt spid="_x0000_s34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10</xdr:row>
          <xdr:rowOff>180975</xdr:rowOff>
        </xdr:from>
        <xdr:to>
          <xdr:col>8</xdr:col>
          <xdr:colOff>885825</xdr:colOff>
          <xdr:row>12</xdr:row>
          <xdr:rowOff>0</xdr:rowOff>
        </xdr:to>
        <xdr:sp macro="" textlink="">
          <xdr:nvSpPr>
            <xdr:cNvPr id="34936" name="Check Box 120" hidden="1">
              <a:extLst>
                <a:ext uri="{63B3BB69-23CF-44E3-9099-C40C66FF867C}">
                  <a14:compatExt spid="_x0000_s34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180975</xdr:rowOff>
        </xdr:from>
        <xdr:to>
          <xdr:col>8</xdr:col>
          <xdr:colOff>885825</xdr:colOff>
          <xdr:row>13</xdr:row>
          <xdr:rowOff>9525</xdr:rowOff>
        </xdr:to>
        <xdr:sp macro="" textlink="">
          <xdr:nvSpPr>
            <xdr:cNvPr id="34937" name="Check Box 121" hidden="1">
              <a:extLst>
                <a:ext uri="{63B3BB69-23CF-44E3-9099-C40C66FF867C}">
                  <a14:compatExt spid="_x0000_s34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12</xdr:row>
          <xdr:rowOff>171450</xdr:rowOff>
        </xdr:from>
        <xdr:to>
          <xdr:col>8</xdr:col>
          <xdr:colOff>885825</xdr:colOff>
          <xdr:row>14</xdr:row>
          <xdr:rowOff>0</xdr:rowOff>
        </xdr:to>
        <xdr:sp macro="" textlink="">
          <xdr:nvSpPr>
            <xdr:cNvPr id="34938" name="Check Box 122" hidden="1">
              <a:extLst>
                <a:ext uri="{63B3BB69-23CF-44E3-9099-C40C66FF867C}">
                  <a14:compatExt spid="_x0000_s34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13</xdr:row>
          <xdr:rowOff>180975</xdr:rowOff>
        </xdr:from>
        <xdr:to>
          <xdr:col>8</xdr:col>
          <xdr:colOff>885825</xdr:colOff>
          <xdr:row>15</xdr:row>
          <xdr:rowOff>9525</xdr:rowOff>
        </xdr:to>
        <xdr:sp macro="" textlink="">
          <xdr:nvSpPr>
            <xdr:cNvPr id="34939" name="Check Box 123" hidden="1">
              <a:extLst>
                <a:ext uri="{63B3BB69-23CF-44E3-9099-C40C66FF867C}">
                  <a14:compatExt spid="_x0000_s34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14</xdr:row>
          <xdr:rowOff>161925</xdr:rowOff>
        </xdr:from>
        <xdr:to>
          <xdr:col>8</xdr:col>
          <xdr:colOff>885825</xdr:colOff>
          <xdr:row>15</xdr:row>
          <xdr:rowOff>180975</xdr:rowOff>
        </xdr:to>
        <xdr:sp macro="" textlink="">
          <xdr:nvSpPr>
            <xdr:cNvPr id="34940" name="Check Box 124" hidden="1">
              <a:extLst>
                <a:ext uri="{63B3BB69-23CF-44E3-9099-C40C66FF867C}">
                  <a14:compatExt spid="_x0000_s34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15</xdr:row>
          <xdr:rowOff>161925</xdr:rowOff>
        </xdr:from>
        <xdr:to>
          <xdr:col>8</xdr:col>
          <xdr:colOff>885825</xdr:colOff>
          <xdr:row>16</xdr:row>
          <xdr:rowOff>180975</xdr:rowOff>
        </xdr:to>
        <xdr:sp macro="" textlink="">
          <xdr:nvSpPr>
            <xdr:cNvPr id="34941" name="Check Box 125" hidden="1">
              <a:extLst>
                <a:ext uri="{63B3BB69-23CF-44E3-9099-C40C66FF867C}">
                  <a14:compatExt spid="_x0000_s34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17</xdr:row>
          <xdr:rowOff>0</xdr:rowOff>
        </xdr:from>
        <xdr:to>
          <xdr:col>8</xdr:col>
          <xdr:colOff>885825</xdr:colOff>
          <xdr:row>18</xdr:row>
          <xdr:rowOff>19050</xdr:rowOff>
        </xdr:to>
        <xdr:sp macro="" textlink="">
          <xdr:nvSpPr>
            <xdr:cNvPr id="34942" name="Check Box 126" hidden="1">
              <a:extLst>
                <a:ext uri="{63B3BB69-23CF-44E3-9099-C40C66FF867C}">
                  <a14:compatExt spid="_x0000_s34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17</xdr:row>
          <xdr:rowOff>180975</xdr:rowOff>
        </xdr:from>
        <xdr:to>
          <xdr:col>8</xdr:col>
          <xdr:colOff>885825</xdr:colOff>
          <xdr:row>19</xdr:row>
          <xdr:rowOff>9525</xdr:rowOff>
        </xdr:to>
        <xdr:sp macro="" textlink="">
          <xdr:nvSpPr>
            <xdr:cNvPr id="34943" name="Check Box 127" hidden="1">
              <a:extLst>
                <a:ext uri="{63B3BB69-23CF-44E3-9099-C40C66FF867C}">
                  <a14:compatExt spid="_x0000_s34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18</xdr:row>
          <xdr:rowOff>171450</xdr:rowOff>
        </xdr:from>
        <xdr:to>
          <xdr:col>8</xdr:col>
          <xdr:colOff>885825</xdr:colOff>
          <xdr:row>20</xdr:row>
          <xdr:rowOff>0</xdr:rowOff>
        </xdr:to>
        <xdr:sp macro="" textlink="">
          <xdr:nvSpPr>
            <xdr:cNvPr id="34944" name="Check Box 128" hidden="1">
              <a:extLst>
                <a:ext uri="{63B3BB69-23CF-44E3-9099-C40C66FF867C}">
                  <a14:compatExt spid="_x0000_s34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19</xdr:row>
          <xdr:rowOff>161925</xdr:rowOff>
        </xdr:from>
        <xdr:to>
          <xdr:col>8</xdr:col>
          <xdr:colOff>885825</xdr:colOff>
          <xdr:row>20</xdr:row>
          <xdr:rowOff>180975</xdr:rowOff>
        </xdr:to>
        <xdr:sp macro="" textlink="">
          <xdr:nvSpPr>
            <xdr:cNvPr id="34945" name="Check Box 129" hidden="1">
              <a:extLst>
                <a:ext uri="{63B3BB69-23CF-44E3-9099-C40C66FF867C}">
                  <a14:compatExt spid="_x0000_s34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20</xdr:row>
          <xdr:rowOff>171450</xdr:rowOff>
        </xdr:from>
        <xdr:to>
          <xdr:col>8</xdr:col>
          <xdr:colOff>885825</xdr:colOff>
          <xdr:row>22</xdr:row>
          <xdr:rowOff>0</xdr:rowOff>
        </xdr:to>
        <xdr:sp macro="" textlink="">
          <xdr:nvSpPr>
            <xdr:cNvPr id="34946" name="Check Box 130" hidden="1">
              <a:extLst>
                <a:ext uri="{63B3BB69-23CF-44E3-9099-C40C66FF867C}">
                  <a14:compatExt spid="_x0000_s34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21</xdr:row>
          <xdr:rowOff>161925</xdr:rowOff>
        </xdr:from>
        <xdr:to>
          <xdr:col>8</xdr:col>
          <xdr:colOff>885825</xdr:colOff>
          <xdr:row>22</xdr:row>
          <xdr:rowOff>180975</xdr:rowOff>
        </xdr:to>
        <xdr:sp macro="" textlink="">
          <xdr:nvSpPr>
            <xdr:cNvPr id="34947" name="Check Box 131" hidden="1">
              <a:extLst>
                <a:ext uri="{63B3BB69-23CF-44E3-9099-C40C66FF867C}">
                  <a14:compatExt spid="_x0000_s34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22</xdr:row>
          <xdr:rowOff>161925</xdr:rowOff>
        </xdr:from>
        <xdr:to>
          <xdr:col>8</xdr:col>
          <xdr:colOff>885825</xdr:colOff>
          <xdr:row>23</xdr:row>
          <xdr:rowOff>180975</xdr:rowOff>
        </xdr:to>
        <xdr:sp macro="" textlink="">
          <xdr:nvSpPr>
            <xdr:cNvPr id="34948" name="Check Box 132" hidden="1">
              <a:extLst>
                <a:ext uri="{63B3BB69-23CF-44E3-9099-C40C66FF867C}">
                  <a14:compatExt spid="_x0000_s34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23</xdr:row>
          <xdr:rowOff>161925</xdr:rowOff>
        </xdr:from>
        <xdr:to>
          <xdr:col>8</xdr:col>
          <xdr:colOff>885825</xdr:colOff>
          <xdr:row>24</xdr:row>
          <xdr:rowOff>180975</xdr:rowOff>
        </xdr:to>
        <xdr:sp macro="" textlink="">
          <xdr:nvSpPr>
            <xdr:cNvPr id="34949" name="Check Box 133" hidden="1">
              <a:extLst>
                <a:ext uri="{63B3BB69-23CF-44E3-9099-C40C66FF867C}">
                  <a14:compatExt spid="_x0000_s34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25</xdr:row>
          <xdr:rowOff>0</xdr:rowOff>
        </xdr:from>
        <xdr:to>
          <xdr:col>8</xdr:col>
          <xdr:colOff>885825</xdr:colOff>
          <xdr:row>26</xdr:row>
          <xdr:rowOff>19050</xdr:rowOff>
        </xdr:to>
        <xdr:sp macro="" textlink="">
          <xdr:nvSpPr>
            <xdr:cNvPr id="34950" name="Check Box 134" hidden="1">
              <a:extLst>
                <a:ext uri="{63B3BB69-23CF-44E3-9099-C40C66FF867C}">
                  <a14:compatExt spid="_x0000_s34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26</xdr:row>
          <xdr:rowOff>9525</xdr:rowOff>
        </xdr:from>
        <xdr:to>
          <xdr:col>8</xdr:col>
          <xdr:colOff>885825</xdr:colOff>
          <xdr:row>27</xdr:row>
          <xdr:rowOff>28575</xdr:rowOff>
        </xdr:to>
        <xdr:sp macro="" textlink="">
          <xdr:nvSpPr>
            <xdr:cNvPr id="34951" name="Check Box 135" hidden="1">
              <a:extLst>
                <a:ext uri="{63B3BB69-23CF-44E3-9099-C40C66FF867C}">
                  <a14:compatExt spid="_x0000_s34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4</xdr:row>
          <xdr:rowOff>171450</xdr:rowOff>
        </xdr:from>
        <xdr:to>
          <xdr:col>8</xdr:col>
          <xdr:colOff>933450</xdr:colOff>
          <xdr:row>6</xdr:row>
          <xdr:rowOff>0</xdr:rowOff>
        </xdr:to>
        <xdr:sp macro="" textlink="">
          <xdr:nvSpPr>
            <xdr:cNvPr id="34952" name="Check Box 136" hidden="1">
              <a:extLst>
                <a:ext uri="{63B3BB69-23CF-44E3-9099-C40C66FF867C}">
                  <a14:compatExt spid="_x0000_s34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3</xdr:row>
          <xdr:rowOff>161925</xdr:rowOff>
        </xdr:from>
        <xdr:to>
          <xdr:col>8</xdr:col>
          <xdr:colOff>1057275</xdr:colOff>
          <xdr:row>5</xdr:row>
          <xdr:rowOff>9525</xdr:rowOff>
        </xdr:to>
        <xdr:sp macro="" textlink="">
          <xdr:nvSpPr>
            <xdr:cNvPr id="34953" name="Check Box 137" hidden="1">
              <a:extLst>
                <a:ext uri="{63B3BB69-23CF-44E3-9099-C40C66FF867C}">
                  <a14:compatExt spid="_x0000_s34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3</xdr:row>
          <xdr:rowOff>161925</xdr:rowOff>
        </xdr:from>
        <xdr:to>
          <xdr:col>10</xdr:col>
          <xdr:colOff>285750</xdr:colOff>
          <xdr:row>5</xdr:row>
          <xdr:rowOff>0</xdr:rowOff>
        </xdr:to>
        <xdr:sp macro="" textlink="">
          <xdr:nvSpPr>
            <xdr:cNvPr id="34954" name="Check Box 138" hidden="1">
              <a:extLst>
                <a:ext uri="{63B3BB69-23CF-44E3-9099-C40C66FF867C}">
                  <a14:compatExt spid="_x0000_s34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3</xdr:row>
          <xdr:rowOff>180975</xdr:rowOff>
        </xdr:from>
        <xdr:to>
          <xdr:col>7</xdr:col>
          <xdr:colOff>1085850</xdr:colOff>
          <xdr:row>5</xdr:row>
          <xdr:rowOff>19050</xdr:rowOff>
        </xdr:to>
        <xdr:sp macro="" textlink="">
          <xdr:nvSpPr>
            <xdr:cNvPr id="34955" name="Check Box 139" hidden="1">
              <a:extLst>
                <a:ext uri="{63B3BB69-23CF-44E3-9099-C40C66FF867C}">
                  <a14:compatExt spid="_x0000_s34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9</xdr:row>
          <xdr:rowOff>171450</xdr:rowOff>
        </xdr:from>
        <xdr:to>
          <xdr:col>8</xdr:col>
          <xdr:colOff>885825</xdr:colOff>
          <xdr:row>11</xdr:row>
          <xdr:rowOff>0</xdr:rowOff>
        </xdr:to>
        <xdr:sp macro="" textlink="">
          <xdr:nvSpPr>
            <xdr:cNvPr id="34956" name="Check Box 140" hidden="1">
              <a:extLst>
                <a:ext uri="{63B3BB69-23CF-44E3-9099-C40C66FF867C}">
                  <a14:compatExt spid="_x0000_s34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27</xdr:row>
          <xdr:rowOff>47625</xdr:rowOff>
        </xdr:from>
        <xdr:to>
          <xdr:col>7</xdr:col>
          <xdr:colOff>952500</xdr:colOff>
          <xdr:row>28</xdr:row>
          <xdr:rowOff>47625</xdr:rowOff>
        </xdr:to>
        <xdr:sp macro="" textlink="">
          <xdr:nvSpPr>
            <xdr:cNvPr id="34957" name="Check Box 141" hidden="1">
              <a:extLst>
                <a:ext uri="{63B3BB69-23CF-44E3-9099-C40C66FF867C}">
                  <a14:compatExt spid="_x0000_s34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666750</xdr:colOff>
          <xdr:row>28</xdr:row>
          <xdr:rowOff>28575</xdr:rowOff>
        </xdr:from>
        <xdr:to>
          <xdr:col>7</xdr:col>
          <xdr:colOff>971550</xdr:colOff>
          <xdr:row>29</xdr:row>
          <xdr:rowOff>47625</xdr:rowOff>
        </xdr:to>
        <xdr:sp macro="" textlink="">
          <xdr:nvSpPr>
            <xdr:cNvPr id="34958" name="Check Box 142" hidden="1">
              <a:extLst>
                <a:ext uri="{63B3BB69-23CF-44E3-9099-C40C66FF867C}">
                  <a14:compatExt spid="_x0000_s34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29</xdr:row>
          <xdr:rowOff>9525</xdr:rowOff>
        </xdr:from>
        <xdr:to>
          <xdr:col>7</xdr:col>
          <xdr:colOff>1009650</xdr:colOff>
          <xdr:row>30</xdr:row>
          <xdr:rowOff>47625</xdr:rowOff>
        </xdr:to>
        <xdr:sp macro="" textlink="">
          <xdr:nvSpPr>
            <xdr:cNvPr id="34959" name="Check Box 143" hidden="1">
              <a:extLst>
                <a:ext uri="{63B3BB69-23CF-44E3-9099-C40C66FF867C}">
                  <a14:compatExt spid="_x0000_s34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30</xdr:row>
          <xdr:rowOff>9525</xdr:rowOff>
        </xdr:from>
        <xdr:to>
          <xdr:col>7</xdr:col>
          <xdr:colOff>1009650</xdr:colOff>
          <xdr:row>31</xdr:row>
          <xdr:rowOff>38100</xdr:rowOff>
        </xdr:to>
        <xdr:sp macro="" textlink="">
          <xdr:nvSpPr>
            <xdr:cNvPr id="34960" name="Check Box 144" hidden="1">
              <a:extLst>
                <a:ext uri="{63B3BB69-23CF-44E3-9099-C40C66FF867C}">
                  <a14:compatExt spid="_x0000_s34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31</xdr:row>
          <xdr:rowOff>28575</xdr:rowOff>
        </xdr:from>
        <xdr:to>
          <xdr:col>7</xdr:col>
          <xdr:colOff>1009650</xdr:colOff>
          <xdr:row>32</xdr:row>
          <xdr:rowOff>47625</xdr:rowOff>
        </xdr:to>
        <xdr:sp macro="" textlink="">
          <xdr:nvSpPr>
            <xdr:cNvPr id="34961" name="Check Box 145" hidden="1">
              <a:extLst>
                <a:ext uri="{63B3BB69-23CF-44E3-9099-C40C66FF867C}">
                  <a14:compatExt spid="_x0000_s34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32</xdr:row>
          <xdr:rowOff>19050</xdr:rowOff>
        </xdr:from>
        <xdr:to>
          <xdr:col>7</xdr:col>
          <xdr:colOff>990600</xdr:colOff>
          <xdr:row>33</xdr:row>
          <xdr:rowOff>28575</xdr:rowOff>
        </xdr:to>
        <xdr:sp macro="" textlink="">
          <xdr:nvSpPr>
            <xdr:cNvPr id="34962" name="Check Box 146" hidden="1">
              <a:extLst>
                <a:ext uri="{63B3BB69-23CF-44E3-9099-C40C66FF867C}">
                  <a14:compatExt spid="_x0000_s34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33</xdr:row>
          <xdr:rowOff>9525</xdr:rowOff>
        </xdr:from>
        <xdr:to>
          <xdr:col>7</xdr:col>
          <xdr:colOff>971550</xdr:colOff>
          <xdr:row>34</xdr:row>
          <xdr:rowOff>19050</xdr:rowOff>
        </xdr:to>
        <xdr:sp macro="" textlink="">
          <xdr:nvSpPr>
            <xdr:cNvPr id="34963" name="Check Box 147" hidden="1">
              <a:extLst>
                <a:ext uri="{63B3BB69-23CF-44E3-9099-C40C66FF867C}">
                  <a14:compatExt spid="_x0000_s34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26</xdr:row>
          <xdr:rowOff>180975</xdr:rowOff>
        </xdr:from>
        <xdr:to>
          <xdr:col>8</xdr:col>
          <xdr:colOff>876300</xdr:colOff>
          <xdr:row>28</xdr:row>
          <xdr:rowOff>9525</xdr:rowOff>
        </xdr:to>
        <xdr:sp macro="" textlink="">
          <xdr:nvSpPr>
            <xdr:cNvPr id="34964" name="Check Box 148" hidden="1">
              <a:extLst>
                <a:ext uri="{63B3BB69-23CF-44E3-9099-C40C66FF867C}">
                  <a14:compatExt spid="_x0000_s34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28</xdr:row>
          <xdr:rowOff>0</xdr:rowOff>
        </xdr:from>
        <xdr:to>
          <xdr:col>8</xdr:col>
          <xdr:colOff>876300</xdr:colOff>
          <xdr:row>29</xdr:row>
          <xdr:rowOff>19050</xdr:rowOff>
        </xdr:to>
        <xdr:sp macro="" textlink="">
          <xdr:nvSpPr>
            <xdr:cNvPr id="34965" name="Check Box 149" hidden="1">
              <a:extLst>
                <a:ext uri="{63B3BB69-23CF-44E3-9099-C40C66FF867C}">
                  <a14:compatExt spid="_x0000_s34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28</xdr:row>
          <xdr:rowOff>180975</xdr:rowOff>
        </xdr:from>
        <xdr:to>
          <xdr:col>8</xdr:col>
          <xdr:colOff>876300</xdr:colOff>
          <xdr:row>30</xdr:row>
          <xdr:rowOff>9525</xdr:rowOff>
        </xdr:to>
        <xdr:sp macro="" textlink="">
          <xdr:nvSpPr>
            <xdr:cNvPr id="34966" name="Check Box 150" hidden="1">
              <a:extLst>
                <a:ext uri="{63B3BB69-23CF-44E3-9099-C40C66FF867C}">
                  <a14:compatExt spid="_x0000_s34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29</xdr:row>
          <xdr:rowOff>180975</xdr:rowOff>
        </xdr:from>
        <xdr:to>
          <xdr:col>8</xdr:col>
          <xdr:colOff>876300</xdr:colOff>
          <xdr:row>31</xdr:row>
          <xdr:rowOff>9525</xdr:rowOff>
        </xdr:to>
        <xdr:sp macro="" textlink="">
          <xdr:nvSpPr>
            <xdr:cNvPr id="34967" name="Check Box 151" hidden="1">
              <a:extLst>
                <a:ext uri="{63B3BB69-23CF-44E3-9099-C40C66FF867C}">
                  <a14:compatExt spid="_x0000_s34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30</xdr:row>
          <xdr:rowOff>180975</xdr:rowOff>
        </xdr:from>
        <xdr:to>
          <xdr:col>8</xdr:col>
          <xdr:colOff>876300</xdr:colOff>
          <xdr:row>32</xdr:row>
          <xdr:rowOff>9525</xdr:rowOff>
        </xdr:to>
        <xdr:sp macro="" textlink="">
          <xdr:nvSpPr>
            <xdr:cNvPr id="34968" name="Check Box 152" hidden="1">
              <a:extLst>
                <a:ext uri="{63B3BB69-23CF-44E3-9099-C40C66FF867C}">
                  <a14:compatExt spid="_x0000_s34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32</xdr:row>
          <xdr:rowOff>19050</xdr:rowOff>
        </xdr:from>
        <xdr:to>
          <xdr:col>8</xdr:col>
          <xdr:colOff>876300</xdr:colOff>
          <xdr:row>33</xdr:row>
          <xdr:rowOff>38100</xdr:rowOff>
        </xdr:to>
        <xdr:sp macro="" textlink="">
          <xdr:nvSpPr>
            <xdr:cNvPr id="34969" name="Check Box 153" hidden="1">
              <a:extLst>
                <a:ext uri="{63B3BB69-23CF-44E3-9099-C40C66FF867C}">
                  <a14:compatExt spid="_x0000_s34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33</xdr:row>
          <xdr:rowOff>9525</xdr:rowOff>
        </xdr:from>
        <xdr:to>
          <xdr:col>8</xdr:col>
          <xdr:colOff>876300</xdr:colOff>
          <xdr:row>34</xdr:row>
          <xdr:rowOff>28575</xdr:rowOff>
        </xdr:to>
        <xdr:sp macro="" textlink="">
          <xdr:nvSpPr>
            <xdr:cNvPr id="34970" name="Check Box 154" hidden="1">
              <a:extLst>
                <a:ext uri="{63B3BB69-23CF-44E3-9099-C40C66FF867C}">
                  <a14:compatExt spid="_x0000_s34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33</xdr:row>
          <xdr:rowOff>180975</xdr:rowOff>
        </xdr:from>
        <xdr:to>
          <xdr:col>7</xdr:col>
          <xdr:colOff>971550</xdr:colOff>
          <xdr:row>35</xdr:row>
          <xdr:rowOff>0</xdr:rowOff>
        </xdr:to>
        <xdr:sp macro="" textlink="">
          <xdr:nvSpPr>
            <xdr:cNvPr id="34971" name="Check Box 155" hidden="1">
              <a:extLst>
                <a:ext uri="{63B3BB69-23CF-44E3-9099-C40C66FF867C}">
                  <a14:compatExt spid="_x0000_s34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33</xdr:row>
          <xdr:rowOff>180975</xdr:rowOff>
        </xdr:from>
        <xdr:to>
          <xdr:col>8</xdr:col>
          <xdr:colOff>876300</xdr:colOff>
          <xdr:row>35</xdr:row>
          <xdr:rowOff>9525</xdr:rowOff>
        </xdr:to>
        <xdr:sp macro="" textlink="">
          <xdr:nvSpPr>
            <xdr:cNvPr id="34972" name="Check Box 156" hidden="1">
              <a:extLst>
                <a:ext uri="{63B3BB69-23CF-44E3-9099-C40C66FF867C}">
                  <a14:compatExt spid="_x0000_s34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4</xdr:row>
          <xdr:rowOff>161925</xdr:rowOff>
        </xdr:from>
        <xdr:to>
          <xdr:col>10</xdr:col>
          <xdr:colOff>285750</xdr:colOff>
          <xdr:row>6</xdr:row>
          <xdr:rowOff>0</xdr:rowOff>
        </xdr:to>
        <xdr:sp macro="" textlink="">
          <xdr:nvSpPr>
            <xdr:cNvPr id="34973" name="Check Box 157" hidden="1">
              <a:extLst>
                <a:ext uri="{63B3BB69-23CF-44E3-9099-C40C66FF867C}">
                  <a14:compatExt spid="_x0000_s34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5</xdr:row>
          <xdr:rowOff>161925</xdr:rowOff>
        </xdr:from>
        <xdr:to>
          <xdr:col>10</xdr:col>
          <xdr:colOff>285750</xdr:colOff>
          <xdr:row>7</xdr:row>
          <xdr:rowOff>0</xdr:rowOff>
        </xdr:to>
        <xdr:sp macro="" textlink="">
          <xdr:nvSpPr>
            <xdr:cNvPr id="34974" name="Check Box 158" hidden="1">
              <a:extLst>
                <a:ext uri="{63B3BB69-23CF-44E3-9099-C40C66FF867C}">
                  <a14:compatExt spid="_x0000_s34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6</xdr:row>
          <xdr:rowOff>161925</xdr:rowOff>
        </xdr:from>
        <xdr:to>
          <xdr:col>10</xdr:col>
          <xdr:colOff>285750</xdr:colOff>
          <xdr:row>8</xdr:row>
          <xdr:rowOff>0</xdr:rowOff>
        </xdr:to>
        <xdr:sp macro="" textlink="">
          <xdr:nvSpPr>
            <xdr:cNvPr id="34975" name="Check Box 159" hidden="1">
              <a:extLst>
                <a:ext uri="{63B3BB69-23CF-44E3-9099-C40C66FF867C}">
                  <a14:compatExt spid="_x0000_s34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7</xdr:row>
          <xdr:rowOff>161925</xdr:rowOff>
        </xdr:from>
        <xdr:to>
          <xdr:col>10</xdr:col>
          <xdr:colOff>285750</xdr:colOff>
          <xdr:row>9</xdr:row>
          <xdr:rowOff>0</xdr:rowOff>
        </xdr:to>
        <xdr:sp macro="" textlink="">
          <xdr:nvSpPr>
            <xdr:cNvPr id="34976" name="Check Box 160" hidden="1">
              <a:extLst>
                <a:ext uri="{63B3BB69-23CF-44E3-9099-C40C66FF867C}">
                  <a14:compatExt spid="_x0000_s34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8</xdr:row>
          <xdr:rowOff>161925</xdr:rowOff>
        </xdr:from>
        <xdr:to>
          <xdr:col>10</xdr:col>
          <xdr:colOff>285750</xdr:colOff>
          <xdr:row>10</xdr:row>
          <xdr:rowOff>0</xdr:rowOff>
        </xdr:to>
        <xdr:sp macro="" textlink="">
          <xdr:nvSpPr>
            <xdr:cNvPr id="34977" name="Check Box 161" hidden="1">
              <a:extLst>
                <a:ext uri="{63B3BB69-23CF-44E3-9099-C40C66FF867C}">
                  <a14:compatExt spid="_x0000_s34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9</xdr:row>
          <xdr:rowOff>161925</xdr:rowOff>
        </xdr:from>
        <xdr:to>
          <xdr:col>10</xdr:col>
          <xdr:colOff>285750</xdr:colOff>
          <xdr:row>11</xdr:row>
          <xdr:rowOff>0</xdr:rowOff>
        </xdr:to>
        <xdr:sp macro="" textlink="">
          <xdr:nvSpPr>
            <xdr:cNvPr id="34978" name="Check Box 162" hidden="1">
              <a:extLst>
                <a:ext uri="{63B3BB69-23CF-44E3-9099-C40C66FF867C}">
                  <a14:compatExt spid="_x0000_s34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10</xdr:row>
          <xdr:rowOff>161925</xdr:rowOff>
        </xdr:from>
        <xdr:to>
          <xdr:col>10</xdr:col>
          <xdr:colOff>285750</xdr:colOff>
          <xdr:row>12</xdr:row>
          <xdr:rowOff>0</xdr:rowOff>
        </xdr:to>
        <xdr:sp macro="" textlink="">
          <xdr:nvSpPr>
            <xdr:cNvPr id="34979" name="Check Box 163" hidden="1">
              <a:extLst>
                <a:ext uri="{63B3BB69-23CF-44E3-9099-C40C66FF867C}">
                  <a14:compatExt spid="_x0000_s34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11</xdr:row>
          <xdr:rowOff>161925</xdr:rowOff>
        </xdr:from>
        <xdr:to>
          <xdr:col>10</xdr:col>
          <xdr:colOff>285750</xdr:colOff>
          <xdr:row>13</xdr:row>
          <xdr:rowOff>0</xdr:rowOff>
        </xdr:to>
        <xdr:sp macro="" textlink="">
          <xdr:nvSpPr>
            <xdr:cNvPr id="34980" name="Check Box 164" hidden="1">
              <a:extLst>
                <a:ext uri="{63B3BB69-23CF-44E3-9099-C40C66FF867C}">
                  <a14:compatExt spid="_x0000_s34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12</xdr:row>
          <xdr:rowOff>161925</xdr:rowOff>
        </xdr:from>
        <xdr:to>
          <xdr:col>10</xdr:col>
          <xdr:colOff>285750</xdr:colOff>
          <xdr:row>14</xdr:row>
          <xdr:rowOff>0</xdr:rowOff>
        </xdr:to>
        <xdr:sp macro="" textlink="">
          <xdr:nvSpPr>
            <xdr:cNvPr id="34981" name="Check Box 165" hidden="1">
              <a:extLst>
                <a:ext uri="{63B3BB69-23CF-44E3-9099-C40C66FF867C}">
                  <a14:compatExt spid="_x0000_s34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13</xdr:row>
          <xdr:rowOff>161925</xdr:rowOff>
        </xdr:from>
        <xdr:to>
          <xdr:col>10</xdr:col>
          <xdr:colOff>285750</xdr:colOff>
          <xdr:row>15</xdr:row>
          <xdr:rowOff>0</xdr:rowOff>
        </xdr:to>
        <xdr:sp macro="" textlink="">
          <xdr:nvSpPr>
            <xdr:cNvPr id="34982" name="Check Box 166" hidden="1">
              <a:extLst>
                <a:ext uri="{63B3BB69-23CF-44E3-9099-C40C66FF867C}">
                  <a14:compatExt spid="_x0000_s34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14</xdr:row>
          <xdr:rowOff>161925</xdr:rowOff>
        </xdr:from>
        <xdr:to>
          <xdr:col>10</xdr:col>
          <xdr:colOff>285750</xdr:colOff>
          <xdr:row>16</xdr:row>
          <xdr:rowOff>0</xdr:rowOff>
        </xdr:to>
        <xdr:sp macro="" textlink="">
          <xdr:nvSpPr>
            <xdr:cNvPr id="34983" name="Check Box 167" hidden="1">
              <a:extLst>
                <a:ext uri="{63B3BB69-23CF-44E3-9099-C40C66FF867C}">
                  <a14:compatExt spid="_x0000_s34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15</xdr:row>
          <xdr:rowOff>161925</xdr:rowOff>
        </xdr:from>
        <xdr:to>
          <xdr:col>10</xdr:col>
          <xdr:colOff>285750</xdr:colOff>
          <xdr:row>17</xdr:row>
          <xdr:rowOff>0</xdr:rowOff>
        </xdr:to>
        <xdr:sp macro="" textlink="">
          <xdr:nvSpPr>
            <xdr:cNvPr id="34984" name="Check Box 168" hidden="1">
              <a:extLst>
                <a:ext uri="{63B3BB69-23CF-44E3-9099-C40C66FF867C}">
                  <a14:compatExt spid="_x0000_s34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16</xdr:row>
          <xdr:rowOff>161925</xdr:rowOff>
        </xdr:from>
        <xdr:to>
          <xdr:col>10</xdr:col>
          <xdr:colOff>285750</xdr:colOff>
          <xdr:row>18</xdr:row>
          <xdr:rowOff>0</xdr:rowOff>
        </xdr:to>
        <xdr:sp macro="" textlink="">
          <xdr:nvSpPr>
            <xdr:cNvPr id="34985" name="Check Box 169" hidden="1">
              <a:extLst>
                <a:ext uri="{63B3BB69-23CF-44E3-9099-C40C66FF867C}">
                  <a14:compatExt spid="_x0000_s34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17</xdr:row>
          <xdr:rowOff>161925</xdr:rowOff>
        </xdr:from>
        <xdr:to>
          <xdr:col>10</xdr:col>
          <xdr:colOff>285750</xdr:colOff>
          <xdr:row>19</xdr:row>
          <xdr:rowOff>0</xdr:rowOff>
        </xdr:to>
        <xdr:sp macro="" textlink="">
          <xdr:nvSpPr>
            <xdr:cNvPr id="34986" name="Check Box 170" hidden="1">
              <a:extLst>
                <a:ext uri="{63B3BB69-23CF-44E3-9099-C40C66FF867C}">
                  <a14:compatExt spid="_x0000_s34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18</xdr:row>
          <xdr:rowOff>161925</xdr:rowOff>
        </xdr:from>
        <xdr:to>
          <xdr:col>10</xdr:col>
          <xdr:colOff>285750</xdr:colOff>
          <xdr:row>20</xdr:row>
          <xdr:rowOff>0</xdr:rowOff>
        </xdr:to>
        <xdr:sp macro="" textlink="">
          <xdr:nvSpPr>
            <xdr:cNvPr id="34987" name="Check Box 171" hidden="1">
              <a:extLst>
                <a:ext uri="{63B3BB69-23CF-44E3-9099-C40C66FF867C}">
                  <a14:compatExt spid="_x0000_s34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19</xdr:row>
          <xdr:rowOff>161925</xdr:rowOff>
        </xdr:from>
        <xdr:to>
          <xdr:col>10</xdr:col>
          <xdr:colOff>285750</xdr:colOff>
          <xdr:row>21</xdr:row>
          <xdr:rowOff>0</xdr:rowOff>
        </xdr:to>
        <xdr:sp macro="" textlink="">
          <xdr:nvSpPr>
            <xdr:cNvPr id="34988" name="Check Box 172" hidden="1">
              <a:extLst>
                <a:ext uri="{63B3BB69-23CF-44E3-9099-C40C66FF867C}">
                  <a14:compatExt spid="_x0000_s34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20</xdr:row>
          <xdr:rowOff>161925</xdr:rowOff>
        </xdr:from>
        <xdr:to>
          <xdr:col>10</xdr:col>
          <xdr:colOff>285750</xdr:colOff>
          <xdr:row>22</xdr:row>
          <xdr:rowOff>0</xdr:rowOff>
        </xdr:to>
        <xdr:sp macro="" textlink="">
          <xdr:nvSpPr>
            <xdr:cNvPr id="34989" name="Check Box 173" hidden="1">
              <a:extLst>
                <a:ext uri="{63B3BB69-23CF-44E3-9099-C40C66FF867C}">
                  <a14:compatExt spid="_x0000_s34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21</xdr:row>
          <xdr:rowOff>161925</xdr:rowOff>
        </xdr:from>
        <xdr:to>
          <xdr:col>10</xdr:col>
          <xdr:colOff>285750</xdr:colOff>
          <xdr:row>23</xdr:row>
          <xdr:rowOff>0</xdr:rowOff>
        </xdr:to>
        <xdr:sp macro="" textlink="">
          <xdr:nvSpPr>
            <xdr:cNvPr id="34990" name="Check Box 174" hidden="1">
              <a:extLst>
                <a:ext uri="{63B3BB69-23CF-44E3-9099-C40C66FF867C}">
                  <a14:compatExt spid="_x0000_s34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22</xdr:row>
          <xdr:rowOff>161925</xdr:rowOff>
        </xdr:from>
        <xdr:to>
          <xdr:col>10</xdr:col>
          <xdr:colOff>285750</xdr:colOff>
          <xdr:row>24</xdr:row>
          <xdr:rowOff>0</xdr:rowOff>
        </xdr:to>
        <xdr:sp macro="" textlink="">
          <xdr:nvSpPr>
            <xdr:cNvPr id="34991" name="Check Box 175" hidden="1">
              <a:extLst>
                <a:ext uri="{63B3BB69-23CF-44E3-9099-C40C66FF867C}">
                  <a14:compatExt spid="_x0000_s34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23</xdr:row>
          <xdr:rowOff>161925</xdr:rowOff>
        </xdr:from>
        <xdr:to>
          <xdr:col>10</xdr:col>
          <xdr:colOff>285750</xdr:colOff>
          <xdr:row>25</xdr:row>
          <xdr:rowOff>0</xdr:rowOff>
        </xdr:to>
        <xdr:sp macro="" textlink="">
          <xdr:nvSpPr>
            <xdr:cNvPr id="34992" name="Check Box 176" hidden="1">
              <a:extLst>
                <a:ext uri="{63B3BB69-23CF-44E3-9099-C40C66FF867C}">
                  <a14:compatExt spid="_x0000_s34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24</xdr:row>
          <xdr:rowOff>161925</xdr:rowOff>
        </xdr:from>
        <xdr:to>
          <xdr:col>10</xdr:col>
          <xdr:colOff>285750</xdr:colOff>
          <xdr:row>26</xdr:row>
          <xdr:rowOff>0</xdr:rowOff>
        </xdr:to>
        <xdr:sp macro="" textlink="">
          <xdr:nvSpPr>
            <xdr:cNvPr id="34993" name="Check Box 177" hidden="1">
              <a:extLst>
                <a:ext uri="{63B3BB69-23CF-44E3-9099-C40C66FF867C}">
                  <a14:compatExt spid="_x0000_s3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25</xdr:row>
          <xdr:rowOff>161925</xdr:rowOff>
        </xdr:from>
        <xdr:to>
          <xdr:col>10</xdr:col>
          <xdr:colOff>285750</xdr:colOff>
          <xdr:row>27</xdr:row>
          <xdr:rowOff>0</xdr:rowOff>
        </xdr:to>
        <xdr:sp macro="" textlink="">
          <xdr:nvSpPr>
            <xdr:cNvPr id="34994" name="Check Box 178" hidden="1">
              <a:extLst>
                <a:ext uri="{63B3BB69-23CF-44E3-9099-C40C66FF867C}">
                  <a14:compatExt spid="_x0000_s3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26</xdr:row>
          <xdr:rowOff>161925</xdr:rowOff>
        </xdr:from>
        <xdr:to>
          <xdr:col>10</xdr:col>
          <xdr:colOff>285750</xdr:colOff>
          <xdr:row>28</xdr:row>
          <xdr:rowOff>0</xdr:rowOff>
        </xdr:to>
        <xdr:sp macro="" textlink="">
          <xdr:nvSpPr>
            <xdr:cNvPr id="34995" name="Check Box 179" hidden="1">
              <a:extLst>
                <a:ext uri="{63B3BB69-23CF-44E3-9099-C40C66FF867C}">
                  <a14:compatExt spid="_x0000_s3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27</xdr:row>
          <xdr:rowOff>161925</xdr:rowOff>
        </xdr:from>
        <xdr:to>
          <xdr:col>10</xdr:col>
          <xdr:colOff>285750</xdr:colOff>
          <xdr:row>29</xdr:row>
          <xdr:rowOff>0</xdr:rowOff>
        </xdr:to>
        <xdr:sp macro="" textlink="">
          <xdr:nvSpPr>
            <xdr:cNvPr id="34996" name="Check Box 180" hidden="1">
              <a:extLst>
                <a:ext uri="{63B3BB69-23CF-44E3-9099-C40C66FF867C}">
                  <a14:compatExt spid="_x0000_s34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28</xdr:row>
          <xdr:rowOff>161925</xdr:rowOff>
        </xdr:from>
        <xdr:to>
          <xdr:col>10</xdr:col>
          <xdr:colOff>285750</xdr:colOff>
          <xdr:row>30</xdr:row>
          <xdr:rowOff>0</xdr:rowOff>
        </xdr:to>
        <xdr:sp macro="" textlink="">
          <xdr:nvSpPr>
            <xdr:cNvPr id="34997" name="Check Box 181" hidden="1">
              <a:extLst>
                <a:ext uri="{63B3BB69-23CF-44E3-9099-C40C66FF867C}">
                  <a14:compatExt spid="_x0000_s34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29</xdr:row>
          <xdr:rowOff>161925</xdr:rowOff>
        </xdr:from>
        <xdr:to>
          <xdr:col>10</xdr:col>
          <xdr:colOff>285750</xdr:colOff>
          <xdr:row>31</xdr:row>
          <xdr:rowOff>0</xdr:rowOff>
        </xdr:to>
        <xdr:sp macro="" textlink="">
          <xdr:nvSpPr>
            <xdr:cNvPr id="34998" name="Check Box 182" hidden="1">
              <a:extLst>
                <a:ext uri="{63B3BB69-23CF-44E3-9099-C40C66FF867C}">
                  <a14:compatExt spid="_x0000_s34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30</xdr:row>
          <xdr:rowOff>161925</xdr:rowOff>
        </xdr:from>
        <xdr:to>
          <xdr:col>10</xdr:col>
          <xdr:colOff>285750</xdr:colOff>
          <xdr:row>32</xdr:row>
          <xdr:rowOff>0</xdr:rowOff>
        </xdr:to>
        <xdr:sp macro="" textlink="">
          <xdr:nvSpPr>
            <xdr:cNvPr id="34999" name="Check Box 183" hidden="1">
              <a:extLst>
                <a:ext uri="{63B3BB69-23CF-44E3-9099-C40C66FF867C}">
                  <a14:compatExt spid="_x0000_s34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31</xdr:row>
          <xdr:rowOff>161925</xdr:rowOff>
        </xdr:from>
        <xdr:to>
          <xdr:col>10</xdr:col>
          <xdr:colOff>285750</xdr:colOff>
          <xdr:row>33</xdr:row>
          <xdr:rowOff>0</xdr:rowOff>
        </xdr:to>
        <xdr:sp macro="" textlink="">
          <xdr:nvSpPr>
            <xdr:cNvPr id="35000" name="Check Box 184" hidden="1">
              <a:extLst>
                <a:ext uri="{63B3BB69-23CF-44E3-9099-C40C66FF867C}">
                  <a14:compatExt spid="_x0000_s35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32</xdr:row>
          <xdr:rowOff>161925</xdr:rowOff>
        </xdr:from>
        <xdr:to>
          <xdr:col>10</xdr:col>
          <xdr:colOff>285750</xdr:colOff>
          <xdr:row>34</xdr:row>
          <xdr:rowOff>0</xdr:rowOff>
        </xdr:to>
        <xdr:sp macro="" textlink="">
          <xdr:nvSpPr>
            <xdr:cNvPr id="35001" name="Check Box 185" hidden="1">
              <a:extLst>
                <a:ext uri="{63B3BB69-23CF-44E3-9099-C40C66FF867C}">
                  <a14:compatExt spid="_x0000_s35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33</xdr:row>
          <xdr:rowOff>161925</xdr:rowOff>
        </xdr:from>
        <xdr:to>
          <xdr:col>10</xdr:col>
          <xdr:colOff>285750</xdr:colOff>
          <xdr:row>35</xdr:row>
          <xdr:rowOff>0</xdr:rowOff>
        </xdr:to>
        <xdr:sp macro="" textlink="">
          <xdr:nvSpPr>
            <xdr:cNvPr id="35002" name="Check Box 186" hidden="1">
              <a:extLst>
                <a:ext uri="{63B3BB69-23CF-44E3-9099-C40C66FF867C}">
                  <a14:compatExt spid="_x0000_s35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1200150</xdr:colOff>
          <xdr:row>0</xdr:row>
          <xdr:rowOff>133350</xdr:rowOff>
        </xdr:from>
        <xdr:to>
          <xdr:col>13</xdr:col>
          <xdr:colOff>295275</xdr:colOff>
          <xdr:row>2</xdr:row>
          <xdr:rowOff>38100</xdr:rowOff>
        </xdr:to>
        <xdr:sp macro="" textlink="">
          <xdr:nvSpPr>
            <xdr:cNvPr id="35003" name="Button 187" hidden="1">
              <a:extLst>
                <a:ext uri="{63B3BB69-23CF-44E3-9099-C40C66FF867C}">
                  <a14:compatExt spid="_x0000_s35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314325</xdr:colOff>
      <xdr:row>0</xdr:row>
      <xdr:rowOff>47625</xdr:rowOff>
    </xdr:from>
    <xdr:to>
      <xdr:col>17</xdr:col>
      <xdr:colOff>66675</xdr:colOff>
      <xdr:row>7</xdr:row>
      <xdr:rowOff>142875</xdr:rowOff>
    </xdr:to>
    <xdr:pic>
      <xdr:nvPicPr>
        <xdr:cNvPr id="96" name="Picture 9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94063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47625"/>
          <a:ext cx="2190750" cy="1533525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hushal" refreshedDate="41696.612190624997" createdVersion="4" refreshedVersion="4" minRefreshableVersion="3" recordCount="1">
  <cacheSource type="worksheet">
    <worksheetSource ref="K16:V17" sheet="Revinue"/>
  </cacheSource>
  <cacheFields count="12">
    <cacheField name="Jan" numFmtId="164">
      <sharedItems containsSemiMixedTypes="0" containsString="0" containsNumber="1" minValue="5710.6350000000002" maxValue="5710.6350000000002"/>
    </cacheField>
    <cacheField name="Feb" numFmtId="164">
      <sharedItems containsSemiMixedTypes="0" containsString="0" containsNumber="1" minValue="7133.9474999999993" maxValue="7133.9474999999993"/>
    </cacheField>
    <cacheField name="Mar" numFmtId="164">
      <sharedItems containsSemiMixedTypes="0" containsString="0" containsNumber="1" minValue="11932.5975" maxValue="11932.5975"/>
    </cacheField>
    <cacheField name="Apr" numFmtId="164">
      <sharedItems containsSemiMixedTypes="0" containsString="0" containsNumber="1" minValue="12370.7" maxValue="12370.7"/>
    </cacheField>
    <cacheField name="May" numFmtId="164">
      <sharedItems containsSemiMixedTypes="0" containsString="0" containsNumber="1" minValue="9202.0099999999984" maxValue="9202.0099999999984"/>
    </cacheField>
    <cacheField name="Jun" numFmtId="164">
      <sharedItems containsSemiMixedTypes="0" containsString="0" containsNumber="1" minValue="5417.0724999999984" maxValue="5417.0724999999984"/>
    </cacheField>
    <cacheField name="Jul" numFmtId="164">
      <sharedItems containsSemiMixedTypes="0" containsString="0" containsNumber="1" minValue="12917.985000000001" maxValue="12917.985000000001"/>
    </cacheField>
    <cacheField name="Aug" numFmtId="164">
      <sharedItems containsSemiMixedTypes="0" containsString="0" containsNumber="1" minValue="8989.3849999999984" maxValue="8989.3849999999984"/>
    </cacheField>
    <cacheField name="Sept" numFmtId="164">
      <sharedItems containsSemiMixedTypes="0" containsString="0" containsNumber="1" minValue="6172.5750000000007" maxValue="6172.5750000000007"/>
    </cacheField>
    <cacheField name="Oct" numFmtId="164">
      <sharedItems containsSemiMixedTypes="0" containsString="0" containsNumber="1" minValue="11867.432499999995" maxValue="11867.432499999995"/>
    </cacheField>
    <cacheField name="Nov" numFmtId="164">
      <sharedItems containsSemiMixedTypes="0" containsString="0" containsNumber="1" minValue="14848.972500000002" maxValue="14848.972500000002"/>
    </cacheField>
    <cacheField name="Dec" numFmtId="164">
      <sharedItems containsSemiMixedTypes="0" containsString="0" containsNumber="1" minValue="18503.584999999999" maxValue="18503.584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hushal" refreshedDate="41696.639950578705" createdVersion="4" refreshedVersion="4" minRefreshableVersion="3" recordCount="15">
  <cacheSource type="worksheet">
    <worksheetSource ref="B25:E40" sheet="Revinue"/>
  </cacheSource>
  <cacheFields count="4">
    <cacheField name="Month #" numFmtId="0">
      <sharedItems containsSemiMixedTypes="0" containsString="0" containsNumber="1" containsInteger="1" minValue="1" maxValue="15"/>
    </cacheField>
    <cacheField name="Months" numFmtId="17">
      <sharedItems containsSemiMixedTypes="0" containsNonDate="0" containsDate="1" containsString="0" minDate="2014-01-01T00:00:00" maxDate="2015-03-02T00:00:00" count="15"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Revenue" numFmtId="0">
      <sharedItems containsString="0" containsBlank="1" containsNumber="1" minValue="5417.0724999999984" maxValue="18503.584999999999" count="13">
        <n v="5710.6350000000002"/>
        <n v="7133.9474999999993"/>
        <n v="11932.5975"/>
        <n v="12370.7"/>
        <n v="9202.0099999999984"/>
        <n v="5417.0724999999984"/>
        <n v="12917.985000000001"/>
        <n v="8989.3849999999984"/>
        <n v="6172.5750000000007"/>
        <n v="11867.432499999995"/>
        <n v="14848.972500000002"/>
        <n v="18503.584999999999"/>
        <m/>
      </sharedItems>
    </cacheField>
    <cacheField name="Forecast" numFmtId="164">
      <sharedItems containsSemiMixedTypes="0" containsString="0" containsNumber="1" minValue="6853.5119871794859" maxValue="15937.5506410256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5710.6350000000002"/>
    <n v="7133.9474999999993"/>
    <n v="11932.5975"/>
    <n v="12370.7"/>
    <n v="9202.0099999999984"/>
    <n v="5417.0724999999984"/>
    <n v="12917.985000000001"/>
    <n v="8989.3849999999984"/>
    <n v="6172.5750000000007"/>
    <n v="11867.432499999995"/>
    <n v="14848.972500000002"/>
    <n v="18503.5849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">
  <r>
    <n v="1"/>
    <x v="0"/>
    <x v="0"/>
    <n v="6853.5119871794859"/>
  </r>
  <r>
    <n v="2"/>
    <x v="1"/>
    <x v="1"/>
    <n v="7502.3718910256403"/>
  </r>
  <r>
    <n v="3"/>
    <x v="2"/>
    <x v="2"/>
    <n v="8151.2317948717937"/>
  </r>
  <r>
    <n v="4"/>
    <x v="3"/>
    <x v="3"/>
    <n v="8800.091698717948"/>
  </r>
  <r>
    <n v="5"/>
    <x v="4"/>
    <x v="4"/>
    <n v="9448.9516025641024"/>
  </r>
  <r>
    <n v="6"/>
    <x v="5"/>
    <x v="5"/>
    <n v="10097.811506410255"/>
  </r>
  <r>
    <n v="7"/>
    <x v="6"/>
    <x v="6"/>
    <n v="10746.671410256409"/>
  </r>
  <r>
    <n v="8"/>
    <x v="7"/>
    <x v="7"/>
    <n v="11395.531314102562"/>
  </r>
  <r>
    <n v="9"/>
    <x v="8"/>
    <x v="8"/>
    <n v="12044.391217948716"/>
  </r>
  <r>
    <n v="10"/>
    <x v="9"/>
    <x v="9"/>
    <n v="12693.25112179487"/>
  </r>
  <r>
    <n v="11"/>
    <x v="10"/>
    <x v="10"/>
    <n v="13342.111025641025"/>
  </r>
  <r>
    <n v="12"/>
    <x v="11"/>
    <x v="11"/>
    <n v="13990.970929487177"/>
  </r>
  <r>
    <n v="13"/>
    <x v="12"/>
    <x v="12"/>
    <n v="14639.830833333332"/>
  </r>
  <r>
    <n v="14"/>
    <x v="13"/>
    <x v="12"/>
    <n v="15288.690737179486"/>
  </r>
  <r>
    <n v="15"/>
    <x v="14"/>
    <x v="12"/>
    <n v="15937.5506410256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L37:W38" firstHeaderRow="0" firstDataRow="1" firstDataCol="0"/>
  <pivotFields count="12"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 of Jan" fld="0" baseField="0" baseItem="0"/>
    <dataField name="Sum of Feb" fld="1" baseField="0" baseItem="0"/>
    <dataField name="Sum of Mar" fld="2" baseField="0" baseItem="0"/>
    <dataField name="Sum of Apr" fld="3" baseField="0" baseItem="0"/>
    <dataField name="Sum of May" fld="4" baseField="0" baseItem="0"/>
    <dataField name="Sum of Jun" fld="5" baseField="0" baseItem="0"/>
    <dataField name="Sum of Jul" fld="6" baseField="0" baseItem="0"/>
    <dataField name="Sum of Aug" fld="7" baseField="0" baseItem="0"/>
    <dataField name="Sum of Sept" fld="8" baseField="0" baseItem="0"/>
    <dataField name="Sum of Oct" fld="9" baseField="0" baseItem="0"/>
    <dataField name="Sum of Nov" fld="10" baseField="0" baseItem="0"/>
    <dataField name="Sum of Dec" fld="11" baseField="0" baseItem="0"/>
  </dataFields>
  <formats count="3">
    <format dxfId="27">
      <pivotArea type="all" dataOnly="0" outline="0" fieldPosition="0"/>
    </format>
    <format dxfId="26">
      <pivotArea type="all" dataOnly="0" outline="0" fieldPosition="0"/>
    </format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44:K75" firstHeaderRow="0" firstDataRow="1" firstDataCol="1"/>
  <pivotFields count="4">
    <pivotField dataField="1" showAll="0"/>
    <pivotField axis="axisRow" numFmtId="17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14">
        <item x="5"/>
        <item x="0"/>
        <item x="8"/>
        <item x="1"/>
        <item x="7"/>
        <item x="4"/>
        <item x="9"/>
        <item x="2"/>
        <item x="3"/>
        <item x="6"/>
        <item x="10"/>
        <item x="11"/>
        <item x="12"/>
        <item t="default"/>
      </items>
    </pivotField>
    <pivotField dataField="1" numFmtId="164" showAll="0"/>
  </pivotFields>
  <rowFields count="2">
    <field x="1"/>
    <field x="2"/>
  </rowFields>
  <rowItems count="31">
    <i>
      <x/>
    </i>
    <i r="1">
      <x v="1"/>
    </i>
    <i>
      <x v="1"/>
    </i>
    <i r="1">
      <x v="3"/>
    </i>
    <i>
      <x v="2"/>
    </i>
    <i r="1">
      <x v="7"/>
    </i>
    <i>
      <x v="3"/>
    </i>
    <i r="1">
      <x v="8"/>
    </i>
    <i>
      <x v="4"/>
    </i>
    <i r="1">
      <x v="5"/>
    </i>
    <i>
      <x v="5"/>
    </i>
    <i r="1">
      <x/>
    </i>
    <i>
      <x v="6"/>
    </i>
    <i r="1">
      <x v="9"/>
    </i>
    <i>
      <x v="7"/>
    </i>
    <i r="1">
      <x v="4"/>
    </i>
    <i>
      <x v="8"/>
    </i>
    <i r="1">
      <x v="2"/>
    </i>
    <i>
      <x v="9"/>
    </i>
    <i r="1">
      <x v="6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2"/>
    </i>
    <i>
      <x v="14"/>
    </i>
    <i r="1"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nth #" fld="0" baseField="0" baseItem="0"/>
    <dataField name="Sum of Forecas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L2" totalsRowShown="0">
  <autoFilter ref="A1:L2"/>
  <tableColumns count="12">
    <tableColumn id="1" name="Jan">
      <calculatedColumnFormula>Revinue!$K$17</calculatedColumnFormula>
    </tableColumn>
    <tableColumn id="2" name="Feb">
      <calculatedColumnFormula>Revinue!$L$17</calculatedColumnFormula>
    </tableColumn>
    <tableColumn id="3" name="Mar">
      <calculatedColumnFormula>Revinue!$M$17</calculatedColumnFormula>
    </tableColumn>
    <tableColumn id="4" name="Apr">
      <calculatedColumnFormula>Revinue!$N$17</calculatedColumnFormula>
    </tableColumn>
    <tableColumn id="5" name="May">
      <calculatedColumnFormula>Revinue!$O$17</calculatedColumnFormula>
    </tableColumn>
    <tableColumn id="6" name="Jun">
      <calculatedColumnFormula>Revinue!$P$17</calculatedColumnFormula>
    </tableColumn>
    <tableColumn id="7" name="Jul">
      <calculatedColumnFormula>Revinue!$Q$17</calculatedColumnFormula>
    </tableColumn>
    <tableColumn id="8" name="Aug">
      <calculatedColumnFormula>Revinue!$R$17</calculatedColumnFormula>
    </tableColumn>
    <tableColumn id="9" name="Sept">
      <calculatedColumnFormula>Revinue!$S$17</calculatedColumnFormula>
    </tableColumn>
    <tableColumn id="10" name="Oct">
      <calculatedColumnFormula>Revinue!$T$17</calculatedColumnFormula>
    </tableColumn>
    <tableColumn id="11" name="Nov">
      <calculatedColumnFormula>Revinue!$U$17</calculatedColumnFormula>
    </tableColumn>
    <tableColumn id="12" name="Dec">
      <calculatedColumnFormula>Revinue!$V$17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.xml"/><Relationship Id="rId117" Type="http://schemas.openxmlformats.org/officeDocument/2006/relationships/ctrlProp" Target="../ctrlProps/ctrlProp137.xml"/><Relationship Id="rId21" Type="http://schemas.openxmlformats.org/officeDocument/2006/relationships/ctrlProp" Target="../ctrlProps/ctrlProp41.xml"/><Relationship Id="rId42" Type="http://schemas.openxmlformats.org/officeDocument/2006/relationships/ctrlProp" Target="../ctrlProps/ctrlProp62.xml"/><Relationship Id="rId47" Type="http://schemas.openxmlformats.org/officeDocument/2006/relationships/ctrlProp" Target="../ctrlProps/ctrlProp67.xml"/><Relationship Id="rId63" Type="http://schemas.openxmlformats.org/officeDocument/2006/relationships/ctrlProp" Target="../ctrlProps/ctrlProp83.xml"/><Relationship Id="rId68" Type="http://schemas.openxmlformats.org/officeDocument/2006/relationships/ctrlProp" Target="../ctrlProps/ctrlProp88.xml"/><Relationship Id="rId84" Type="http://schemas.openxmlformats.org/officeDocument/2006/relationships/ctrlProp" Target="../ctrlProps/ctrlProp104.xml"/><Relationship Id="rId89" Type="http://schemas.openxmlformats.org/officeDocument/2006/relationships/ctrlProp" Target="../ctrlProps/ctrlProp109.xml"/><Relationship Id="rId112" Type="http://schemas.openxmlformats.org/officeDocument/2006/relationships/ctrlProp" Target="../ctrlProps/ctrlProp132.xml"/><Relationship Id="rId16" Type="http://schemas.openxmlformats.org/officeDocument/2006/relationships/ctrlProp" Target="../ctrlProps/ctrlProp36.xml"/><Relationship Id="rId107" Type="http://schemas.openxmlformats.org/officeDocument/2006/relationships/ctrlProp" Target="../ctrlProps/ctrlProp127.xml"/><Relationship Id="rId11" Type="http://schemas.openxmlformats.org/officeDocument/2006/relationships/ctrlProp" Target="../ctrlProps/ctrlProp31.xml"/><Relationship Id="rId32" Type="http://schemas.openxmlformats.org/officeDocument/2006/relationships/ctrlProp" Target="../ctrlProps/ctrlProp52.xml"/><Relationship Id="rId37" Type="http://schemas.openxmlformats.org/officeDocument/2006/relationships/ctrlProp" Target="../ctrlProps/ctrlProp57.xml"/><Relationship Id="rId53" Type="http://schemas.openxmlformats.org/officeDocument/2006/relationships/ctrlProp" Target="../ctrlProps/ctrlProp73.xml"/><Relationship Id="rId58" Type="http://schemas.openxmlformats.org/officeDocument/2006/relationships/ctrlProp" Target="../ctrlProps/ctrlProp78.xml"/><Relationship Id="rId74" Type="http://schemas.openxmlformats.org/officeDocument/2006/relationships/ctrlProp" Target="../ctrlProps/ctrlProp94.xml"/><Relationship Id="rId79" Type="http://schemas.openxmlformats.org/officeDocument/2006/relationships/ctrlProp" Target="../ctrlProps/ctrlProp99.xml"/><Relationship Id="rId102" Type="http://schemas.openxmlformats.org/officeDocument/2006/relationships/ctrlProp" Target="../ctrlProps/ctrlProp122.xml"/><Relationship Id="rId123" Type="http://schemas.openxmlformats.org/officeDocument/2006/relationships/ctrlProp" Target="../ctrlProps/ctrlProp143.xml"/><Relationship Id="rId5" Type="http://schemas.openxmlformats.org/officeDocument/2006/relationships/ctrlProp" Target="../ctrlProps/ctrlProp25.xml"/><Relationship Id="rId90" Type="http://schemas.openxmlformats.org/officeDocument/2006/relationships/ctrlProp" Target="../ctrlProps/ctrlProp110.xml"/><Relationship Id="rId95" Type="http://schemas.openxmlformats.org/officeDocument/2006/relationships/ctrlProp" Target="../ctrlProps/ctrlProp115.xml"/><Relationship Id="rId22" Type="http://schemas.openxmlformats.org/officeDocument/2006/relationships/ctrlProp" Target="../ctrlProps/ctrlProp42.xml"/><Relationship Id="rId27" Type="http://schemas.openxmlformats.org/officeDocument/2006/relationships/ctrlProp" Target="../ctrlProps/ctrlProp47.xml"/><Relationship Id="rId43" Type="http://schemas.openxmlformats.org/officeDocument/2006/relationships/ctrlProp" Target="../ctrlProps/ctrlProp63.xml"/><Relationship Id="rId48" Type="http://schemas.openxmlformats.org/officeDocument/2006/relationships/ctrlProp" Target="../ctrlProps/ctrlProp68.xml"/><Relationship Id="rId64" Type="http://schemas.openxmlformats.org/officeDocument/2006/relationships/ctrlProp" Target="../ctrlProps/ctrlProp84.xml"/><Relationship Id="rId69" Type="http://schemas.openxmlformats.org/officeDocument/2006/relationships/ctrlProp" Target="../ctrlProps/ctrlProp89.xml"/><Relationship Id="rId113" Type="http://schemas.openxmlformats.org/officeDocument/2006/relationships/ctrlProp" Target="../ctrlProps/ctrlProp133.xml"/><Relationship Id="rId118" Type="http://schemas.openxmlformats.org/officeDocument/2006/relationships/ctrlProp" Target="../ctrlProps/ctrlProp138.xml"/><Relationship Id="rId80" Type="http://schemas.openxmlformats.org/officeDocument/2006/relationships/ctrlProp" Target="../ctrlProps/ctrlProp100.xml"/><Relationship Id="rId85" Type="http://schemas.openxmlformats.org/officeDocument/2006/relationships/ctrlProp" Target="../ctrlProps/ctrlProp105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33" Type="http://schemas.openxmlformats.org/officeDocument/2006/relationships/ctrlProp" Target="../ctrlProps/ctrlProp53.xml"/><Relationship Id="rId38" Type="http://schemas.openxmlformats.org/officeDocument/2006/relationships/ctrlProp" Target="../ctrlProps/ctrlProp58.xml"/><Relationship Id="rId59" Type="http://schemas.openxmlformats.org/officeDocument/2006/relationships/ctrlProp" Target="../ctrlProps/ctrlProp79.xml"/><Relationship Id="rId103" Type="http://schemas.openxmlformats.org/officeDocument/2006/relationships/ctrlProp" Target="../ctrlProps/ctrlProp123.xml"/><Relationship Id="rId108" Type="http://schemas.openxmlformats.org/officeDocument/2006/relationships/ctrlProp" Target="../ctrlProps/ctrlProp128.xml"/><Relationship Id="rId124" Type="http://schemas.openxmlformats.org/officeDocument/2006/relationships/ctrlProp" Target="../ctrlProps/ctrlProp144.xml"/><Relationship Id="rId54" Type="http://schemas.openxmlformats.org/officeDocument/2006/relationships/ctrlProp" Target="../ctrlProps/ctrlProp74.xml"/><Relationship Id="rId70" Type="http://schemas.openxmlformats.org/officeDocument/2006/relationships/ctrlProp" Target="../ctrlProps/ctrlProp90.xml"/><Relationship Id="rId75" Type="http://schemas.openxmlformats.org/officeDocument/2006/relationships/ctrlProp" Target="../ctrlProps/ctrlProp95.xml"/><Relationship Id="rId91" Type="http://schemas.openxmlformats.org/officeDocument/2006/relationships/ctrlProp" Target="../ctrlProps/ctrlProp111.xml"/><Relationship Id="rId96" Type="http://schemas.openxmlformats.org/officeDocument/2006/relationships/ctrlProp" Target="../ctrlProps/ctrlProp116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6.xml"/><Relationship Id="rId23" Type="http://schemas.openxmlformats.org/officeDocument/2006/relationships/ctrlProp" Target="../ctrlProps/ctrlProp43.xml"/><Relationship Id="rId28" Type="http://schemas.openxmlformats.org/officeDocument/2006/relationships/ctrlProp" Target="../ctrlProps/ctrlProp48.xml"/><Relationship Id="rId49" Type="http://schemas.openxmlformats.org/officeDocument/2006/relationships/ctrlProp" Target="../ctrlProps/ctrlProp69.xml"/><Relationship Id="rId114" Type="http://schemas.openxmlformats.org/officeDocument/2006/relationships/ctrlProp" Target="../ctrlProps/ctrlProp134.xml"/><Relationship Id="rId119" Type="http://schemas.openxmlformats.org/officeDocument/2006/relationships/ctrlProp" Target="../ctrlProps/ctrlProp139.xml"/><Relationship Id="rId44" Type="http://schemas.openxmlformats.org/officeDocument/2006/relationships/ctrlProp" Target="../ctrlProps/ctrlProp64.xml"/><Relationship Id="rId60" Type="http://schemas.openxmlformats.org/officeDocument/2006/relationships/ctrlProp" Target="../ctrlProps/ctrlProp80.xml"/><Relationship Id="rId65" Type="http://schemas.openxmlformats.org/officeDocument/2006/relationships/ctrlProp" Target="../ctrlProps/ctrlProp85.xml"/><Relationship Id="rId81" Type="http://schemas.openxmlformats.org/officeDocument/2006/relationships/ctrlProp" Target="../ctrlProps/ctrlProp101.xml"/><Relationship Id="rId86" Type="http://schemas.openxmlformats.org/officeDocument/2006/relationships/ctrlProp" Target="../ctrlProps/ctrlProp106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39" Type="http://schemas.openxmlformats.org/officeDocument/2006/relationships/ctrlProp" Target="../ctrlProps/ctrlProp59.xml"/><Relationship Id="rId109" Type="http://schemas.openxmlformats.org/officeDocument/2006/relationships/ctrlProp" Target="../ctrlProps/ctrlProp129.xml"/><Relationship Id="rId34" Type="http://schemas.openxmlformats.org/officeDocument/2006/relationships/ctrlProp" Target="../ctrlProps/ctrlProp54.xml"/><Relationship Id="rId50" Type="http://schemas.openxmlformats.org/officeDocument/2006/relationships/ctrlProp" Target="../ctrlProps/ctrlProp70.xml"/><Relationship Id="rId55" Type="http://schemas.openxmlformats.org/officeDocument/2006/relationships/ctrlProp" Target="../ctrlProps/ctrlProp75.xml"/><Relationship Id="rId76" Type="http://schemas.openxmlformats.org/officeDocument/2006/relationships/ctrlProp" Target="../ctrlProps/ctrlProp96.xml"/><Relationship Id="rId97" Type="http://schemas.openxmlformats.org/officeDocument/2006/relationships/ctrlProp" Target="../ctrlProps/ctrlProp117.xml"/><Relationship Id="rId104" Type="http://schemas.openxmlformats.org/officeDocument/2006/relationships/ctrlProp" Target="../ctrlProps/ctrlProp124.xml"/><Relationship Id="rId120" Type="http://schemas.openxmlformats.org/officeDocument/2006/relationships/ctrlProp" Target="../ctrlProps/ctrlProp140.xml"/><Relationship Id="rId125" Type="http://schemas.openxmlformats.org/officeDocument/2006/relationships/ctrlProp" Target="../ctrlProps/ctrlProp145.xml"/><Relationship Id="rId7" Type="http://schemas.openxmlformats.org/officeDocument/2006/relationships/ctrlProp" Target="../ctrlProps/ctrlProp27.xml"/><Relationship Id="rId71" Type="http://schemas.openxmlformats.org/officeDocument/2006/relationships/ctrlProp" Target="../ctrlProps/ctrlProp91.xml"/><Relationship Id="rId92" Type="http://schemas.openxmlformats.org/officeDocument/2006/relationships/ctrlProp" Target="../ctrlProps/ctrlProp112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49.xml"/><Relationship Id="rId24" Type="http://schemas.openxmlformats.org/officeDocument/2006/relationships/ctrlProp" Target="../ctrlProps/ctrlProp44.xml"/><Relationship Id="rId40" Type="http://schemas.openxmlformats.org/officeDocument/2006/relationships/ctrlProp" Target="../ctrlProps/ctrlProp60.xml"/><Relationship Id="rId45" Type="http://schemas.openxmlformats.org/officeDocument/2006/relationships/ctrlProp" Target="../ctrlProps/ctrlProp65.xml"/><Relationship Id="rId66" Type="http://schemas.openxmlformats.org/officeDocument/2006/relationships/ctrlProp" Target="../ctrlProps/ctrlProp86.xml"/><Relationship Id="rId87" Type="http://schemas.openxmlformats.org/officeDocument/2006/relationships/ctrlProp" Target="../ctrlProps/ctrlProp107.xml"/><Relationship Id="rId110" Type="http://schemas.openxmlformats.org/officeDocument/2006/relationships/ctrlProp" Target="../ctrlProps/ctrlProp130.xml"/><Relationship Id="rId115" Type="http://schemas.openxmlformats.org/officeDocument/2006/relationships/ctrlProp" Target="../ctrlProps/ctrlProp135.xml"/><Relationship Id="rId61" Type="http://schemas.openxmlformats.org/officeDocument/2006/relationships/ctrlProp" Target="../ctrlProps/ctrlProp81.xml"/><Relationship Id="rId82" Type="http://schemas.openxmlformats.org/officeDocument/2006/relationships/ctrlProp" Target="../ctrlProps/ctrlProp102.xml"/><Relationship Id="rId19" Type="http://schemas.openxmlformats.org/officeDocument/2006/relationships/ctrlProp" Target="../ctrlProps/ctrlProp39.xml"/><Relationship Id="rId14" Type="http://schemas.openxmlformats.org/officeDocument/2006/relationships/ctrlProp" Target="../ctrlProps/ctrlProp34.xml"/><Relationship Id="rId30" Type="http://schemas.openxmlformats.org/officeDocument/2006/relationships/ctrlProp" Target="../ctrlProps/ctrlProp50.xml"/><Relationship Id="rId35" Type="http://schemas.openxmlformats.org/officeDocument/2006/relationships/ctrlProp" Target="../ctrlProps/ctrlProp55.xml"/><Relationship Id="rId56" Type="http://schemas.openxmlformats.org/officeDocument/2006/relationships/ctrlProp" Target="../ctrlProps/ctrlProp76.xml"/><Relationship Id="rId77" Type="http://schemas.openxmlformats.org/officeDocument/2006/relationships/ctrlProp" Target="../ctrlProps/ctrlProp97.xml"/><Relationship Id="rId100" Type="http://schemas.openxmlformats.org/officeDocument/2006/relationships/ctrlProp" Target="../ctrlProps/ctrlProp120.xml"/><Relationship Id="rId105" Type="http://schemas.openxmlformats.org/officeDocument/2006/relationships/ctrlProp" Target="../ctrlProps/ctrlProp125.xml"/><Relationship Id="rId126" Type="http://schemas.openxmlformats.org/officeDocument/2006/relationships/ctrlProp" Target="../ctrlProps/ctrlProp146.xml"/><Relationship Id="rId8" Type="http://schemas.openxmlformats.org/officeDocument/2006/relationships/ctrlProp" Target="../ctrlProps/ctrlProp28.xml"/><Relationship Id="rId51" Type="http://schemas.openxmlformats.org/officeDocument/2006/relationships/ctrlProp" Target="../ctrlProps/ctrlProp71.xml"/><Relationship Id="rId72" Type="http://schemas.openxmlformats.org/officeDocument/2006/relationships/ctrlProp" Target="../ctrlProps/ctrlProp92.xml"/><Relationship Id="rId93" Type="http://schemas.openxmlformats.org/officeDocument/2006/relationships/ctrlProp" Target="../ctrlProps/ctrlProp113.xml"/><Relationship Id="rId98" Type="http://schemas.openxmlformats.org/officeDocument/2006/relationships/ctrlProp" Target="../ctrlProps/ctrlProp118.xml"/><Relationship Id="rId121" Type="http://schemas.openxmlformats.org/officeDocument/2006/relationships/ctrlProp" Target="../ctrlProps/ctrlProp141.xml"/><Relationship Id="rId3" Type="http://schemas.openxmlformats.org/officeDocument/2006/relationships/ctrlProp" Target="../ctrlProps/ctrlProp23.xml"/><Relationship Id="rId25" Type="http://schemas.openxmlformats.org/officeDocument/2006/relationships/ctrlProp" Target="../ctrlProps/ctrlProp45.xml"/><Relationship Id="rId46" Type="http://schemas.openxmlformats.org/officeDocument/2006/relationships/ctrlProp" Target="../ctrlProps/ctrlProp66.xml"/><Relationship Id="rId67" Type="http://schemas.openxmlformats.org/officeDocument/2006/relationships/ctrlProp" Target="../ctrlProps/ctrlProp87.xml"/><Relationship Id="rId116" Type="http://schemas.openxmlformats.org/officeDocument/2006/relationships/ctrlProp" Target="../ctrlProps/ctrlProp136.xml"/><Relationship Id="rId20" Type="http://schemas.openxmlformats.org/officeDocument/2006/relationships/ctrlProp" Target="../ctrlProps/ctrlProp40.xml"/><Relationship Id="rId41" Type="http://schemas.openxmlformats.org/officeDocument/2006/relationships/ctrlProp" Target="../ctrlProps/ctrlProp61.xml"/><Relationship Id="rId62" Type="http://schemas.openxmlformats.org/officeDocument/2006/relationships/ctrlProp" Target="../ctrlProps/ctrlProp82.xml"/><Relationship Id="rId83" Type="http://schemas.openxmlformats.org/officeDocument/2006/relationships/ctrlProp" Target="../ctrlProps/ctrlProp103.xml"/><Relationship Id="rId88" Type="http://schemas.openxmlformats.org/officeDocument/2006/relationships/ctrlProp" Target="../ctrlProps/ctrlProp108.xml"/><Relationship Id="rId111" Type="http://schemas.openxmlformats.org/officeDocument/2006/relationships/ctrlProp" Target="../ctrlProps/ctrlProp131.xml"/><Relationship Id="rId15" Type="http://schemas.openxmlformats.org/officeDocument/2006/relationships/ctrlProp" Target="../ctrlProps/ctrlProp35.xml"/><Relationship Id="rId36" Type="http://schemas.openxmlformats.org/officeDocument/2006/relationships/ctrlProp" Target="../ctrlProps/ctrlProp56.xml"/><Relationship Id="rId57" Type="http://schemas.openxmlformats.org/officeDocument/2006/relationships/ctrlProp" Target="../ctrlProps/ctrlProp77.xml"/><Relationship Id="rId106" Type="http://schemas.openxmlformats.org/officeDocument/2006/relationships/ctrlProp" Target="../ctrlProps/ctrlProp126.xml"/><Relationship Id="rId10" Type="http://schemas.openxmlformats.org/officeDocument/2006/relationships/ctrlProp" Target="../ctrlProps/ctrlProp30.xml"/><Relationship Id="rId31" Type="http://schemas.openxmlformats.org/officeDocument/2006/relationships/ctrlProp" Target="../ctrlProps/ctrlProp51.xml"/><Relationship Id="rId52" Type="http://schemas.openxmlformats.org/officeDocument/2006/relationships/ctrlProp" Target="../ctrlProps/ctrlProp72.xml"/><Relationship Id="rId73" Type="http://schemas.openxmlformats.org/officeDocument/2006/relationships/ctrlProp" Target="../ctrlProps/ctrlProp93.xml"/><Relationship Id="rId78" Type="http://schemas.openxmlformats.org/officeDocument/2006/relationships/ctrlProp" Target="../ctrlProps/ctrlProp98.xml"/><Relationship Id="rId94" Type="http://schemas.openxmlformats.org/officeDocument/2006/relationships/ctrlProp" Target="../ctrlProps/ctrlProp114.xml"/><Relationship Id="rId99" Type="http://schemas.openxmlformats.org/officeDocument/2006/relationships/ctrlProp" Target="../ctrlProps/ctrlProp119.xml"/><Relationship Id="rId101" Type="http://schemas.openxmlformats.org/officeDocument/2006/relationships/ctrlProp" Target="../ctrlProps/ctrlProp121.xml"/><Relationship Id="rId122" Type="http://schemas.openxmlformats.org/officeDocument/2006/relationships/ctrlProp" Target="../ctrlProps/ctrlProp142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0.xml"/><Relationship Id="rId21" Type="http://schemas.openxmlformats.org/officeDocument/2006/relationships/ctrlProp" Target="../ctrlProps/ctrlProp165.xml"/><Relationship Id="rId34" Type="http://schemas.openxmlformats.org/officeDocument/2006/relationships/ctrlProp" Target="../ctrlProps/ctrlProp178.xml"/><Relationship Id="rId42" Type="http://schemas.openxmlformats.org/officeDocument/2006/relationships/ctrlProp" Target="../ctrlProps/ctrlProp186.xml"/><Relationship Id="rId47" Type="http://schemas.openxmlformats.org/officeDocument/2006/relationships/ctrlProp" Target="../ctrlProps/ctrlProp191.xml"/><Relationship Id="rId50" Type="http://schemas.openxmlformats.org/officeDocument/2006/relationships/ctrlProp" Target="../ctrlProps/ctrlProp194.xml"/><Relationship Id="rId55" Type="http://schemas.openxmlformats.org/officeDocument/2006/relationships/ctrlProp" Target="../ctrlProps/ctrlProp199.xml"/><Relationship Id="rId63" Type="http://schemas.openxmlformats.org/officeDocument/2006/relationships/ctrlProp" Target="../ctrlProps/ctrlProp207.xml"/><Relationship Id="rId7" Type="http://schemas.openxmlformats.org/officeDocument/2006/relationships/ctrlProp" Target="../ctrlProps/ctrlProp151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0.xml"/><Relationship Id="rId29" Type="http://schemas.openxmlformats.org/officeDocument/2006/relationships/ctrlProp" Target="../ctrlProps/ctrlProp173.xml"/><Relationship Id="rId11" Type="http://schemas.openxmlformats.org/officeDocument/2006/relationships/ctrlProp" Target="../ctrlProps/ctrlProp155.xml"/><Relationship Id="rId24" Type="http://schemas.openxmlformats.org/officeDocument/2006/relationships/ctrlProp" Target="../ctrlProps/ctrlProp168.xml"/><Relationship Id="rId32" Type="http://schemas.openxmlformats.org/officeDocument/2006/relationships/ctrlProp" Target="../ctrlProps/ctrlProp176.xml"/><Relationship Id="rId37" Type="http://schemas.openxmlformats.org/officeDocument/2006/relationships/ctrlProp" Target="../ctrlProps/ctrlProp181.xml"/><Relationship Id="rId40" Type="http://schemas.openxmlformats.org/officeDocument/2006/relationships/ctrlProp" Target="../ctrlProps/ctrlProp184.xml"/><Relationship Id="rId45" Type="http://schemas.openxmlformats.org/officeDocument/2006/relationships/ctrlProp" Target="../ctrlProps/ctrlProp189.xml"/><Relationship Id="rId53" Type="http://schemas.openxmlformats.org/officeDocument/2006/relationships/ctrlProp" Target="../ctrlProps/ctrlProp197.xml"/><Relationship Id="rId58" Type="http://schemas.openxmlformats.org/officeDocument/2006/relationships/ctrlProp" Target="../ctrlProps/ctrlProp202.xml"/><Relationship Id="rId5" Type="http://schemas.openxmlformats.org/officeDocument/2006/relationships/ctrlProp" Target="../ctrlProps/ctrlProp149.xml"/><Relationship Id="rId61" Type="http://schemas.openxmlformats.org/officeDocument/2006/relationships/ctrlProp" Target="../ctrlProps/ctrlProp205.xml"/><Relationship Id="rId19" Type="http://schemas.openxmlformats.org/officeDocument/2006/relationships/ctrlProp" Target="../ctrlProps/ctrlProp163.xml"/><Relationship Id="rId14" Type="http://schemas.openxmlformats.org/officeDocument/2006/relationships/ctrlProp" Target="../ctrlProps/ctrlProp158.xml"/><Relationship Id="rId22" Type="http://schemas.openxmlformats.org/officeDocument/2006/relationships/ctrlProp" Target="../ctrlProps/ctrlProp166.xml"/><Relationship Id="rId27" Type="http://schemas.openxmlformats.org/officeDocument/2006/relationships/ctrlProp" Target="../ctrlProps/ctrlProp171.xml"/><Relationship Id="rId30" Type="http://schemas.openxmlformats.org/officeDocument/2006/relationships/ctrlProp" Target="../ctrlProps/ctrlProp174.xml"/><Relationship Id="rId35" Type="http://schemas.openxmlformats.org/officeDocument/2006/relationships/ctrlProp" Target="../ctrlProps/ctrlProp179.xml"/><Relationship Id="rId43" Type="http://schemas.openxmlformats.org/officeDocument/2006/relationships/ctrlProp" Target="../ctrlProps/ctrlProp187.xml"/><Relationship Id="rId48" Type="http://schemas.openxmlformats.org/officeDocument/2006/relationships/ctrlProp" Target="../ctrlProps/ctrlProp192.xml"/><Relationship Id="rId56" Type="http://schemas.openxmlformats.org/officeDocument/2006/relationships/ctrlProp" Target="../ctrlProps/ctrlProp200.xml"/><Relationship Id="rId64" Type="http://schemas.openxmlformats.org/officeDocument/2006/relationships/ctrlProp" Target="../ctrlProps/ctrlProp208.xml"/><Relationship Id="rId8" Type="http://schemas.openxmlformats.org/officeDocument/2006/relationships/ctrlProp" Target="../ctrlProps/ctrlProp152.xml"/><Relationship Id="rId51" Type="http://schemas.openxmlformats.org/officeDocument/2006/relationships/ctrlProp" Target="../ctrlProps/ctrlProp195.xml"/><Relationship Id="rId3" Type="http://schemas.openxmlformats.org/officeDocument/2006/relationships/ctrlProp" Target="../ctrlProps/ctrlProp147.xml"/><Relationship Id="rId12" Type="http://schemas.openxmlformats.org/officeDocument/2006/relationships/ctrlProp" Target="../ctrlProps/ctrlProp156.xml"/><Relationship Id="rId17" Type="http://schemas.openxmlformats.org/officeDocument/2006/relationships/ctrlProp" Target="../ctrlProps/ctrlProp161.xml"/><Relationship Id="rId25" Type="http://schemas.openxmlformats.org/officeDocument/2006/relationships/ctrlProp" Target="../ctrlProps/ctrlProp169.xml"/><Relationship Id="rId33" Type="http://schemas.openxmlformats.org/officeDocument/2006/relationships/ctrlProp" Target="../ctrlProps/ctrlProp177.xml"/><Relationship Id="rId38" Type="http://schemas.openxmlformats.org/officeDocument/2006/relationships/ctrlProp" Target="../ctrlProps/ctrlProp182.xml"/><Relationship Id="rId46" Type="http://schemas.openxmlformats.org/officeDocument/2006/relationships/ctrlProp" Target="../ctrlProps/ctrlProp190.xml"/><Relationship Id="rId59" Type="http://schemas.openxmlformats.org/officeDocument/2006/relationships/ctrlProp" Target="../ctrlProps/ctrlProp203.xml"/><Relationship Id="rId20" Type="http://schemas.openxmlformats.org/officeDocument/2006/relationships/ctrlProp" Target="../ctrlProps/ctrlProp164.xml"/><Relationship Id="rId41" Type="http://schemas.openxmlformats.org/officeDocument/2006/relationships/ctrlProp" Target="../ctrlProps/ctrlProp185.xml"/><Relationship Id="rId54" Type="http://schemas.openxmlformats.org/officeDocument/2006/relationships/ctrlProp" Target="../ctrlProps/ctrlProp198.xml"/><Relationship Id="rId62" Type="http://schemas.openxmlformats.org/officeDocument/2006/relationships/ctrlProp" Target="../ctrlProps/ctrlProp20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50.xml"/><Relationship Id="rId15" Type="http://schemas.openxmlformats.org/officeDocument/2006/relationships/ctrlProp" Target="../ctrlProps/ctrlProp159.xml"/><Relationship Id="rId23" Type="http://schemas.openxmlformats.org/officeDocument/2006/relationships/ctrlProp" Target="../ctrlProps/ctrlProp167.xml"/><Relationship Id="rId28" Type="http://schemas.openxmlformats.org/officeDocument/2006/relationships/ctrlProp" Target="../ctrlProps/ctrlProp172.xml"/><Relationship Id="rId36" Type="http://schemas.openxmlformats.org/officeDocument/2006/relationships/ctrlProp" Target="../ctrlProps/ctrlProp180.xml"/><Relationship Id="rId49" Type="http://schemas.openxmlformats.org/officeDocument/2006/relationships/ctrlProp" Target="../ctrlProps/ctrlProp193.xml"/><Relationship Id="rId57" Type="http://schemas.openxmlformats.org/officeDocument/2006/relationships/ctrlProp" Target="../ctrlProps/ctrlProp201.xml"/><Relationship Id="rId10" Type="http://schemas.openxmlformats.org/officeDocument/2006/relationships/ctrlProp" Target="../ctrlProps/ctrlProp154.xml"/><Relationship Id="rId31" Type="http://schemas.openxmlformats.org/officeDocument/2006/relationships/ctrlProp" Target="../ctrlProps/ctrlProp175.xml"/><Relationship Id="rId44" Type="http://schemas.openxmlformats.org/officeDocument/2006/relationships/ctrlProp" Target="../ctrlProps/ctrlProp188.xml"/><Relationship Id="rId52" Type="http://schemas.openxmlformats.org/officeDocument/2006/relationships/ctrlProp" Target="../ctrlProps/ctrlProp196.xml"/><Relationship Id="rId60" Type="http://schemas.openxmlformats.org/officeDocument/2006/relationships/ctrlProp" Target="../ctrlProps/ctrlProp204.xml"/><Relationship Id="rId65" Type="http://schemas.openxmlformats.org/officeDocument/2006/relationships/ctrlProp" Target="../ctrlProps/ctrlProp209.xml"/><Relationship Id="rId4" Type="http://schemas.openxmlformats.org/officeDocument/2006/relationships/ctrlProp" Target="../ctrlProps/ctrlProp148.xml"/><Relationship Id="rId9" Type="http://schemas.openxmlformats.org/officeDocument/2006/relationships/ctrlProp" Target="../ctrlProps/ctrlProp153.xml"/><Relationship Id="rId13" Type="http://schemas.openxmlformats.org/officeDocument/2006/relationships/ctrlProp" Target="../ctrlProps/ctrlProp157.xml"/><Relationship Id="rId18" Type="http://schemas.openxmlformats.org/officeDocument/2006/relationships/ctrlProp" Target="../ctrlProps/ctrlProp162.xml"/><Relationship Id="rId39" Type="http://schemas.openxmlformats.org/officeDocument/2006/relationships/ctrlProp" Target="../ctrlProps/ctrlProp18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3.xml"/><Relationship Id="rId117" Type="http://schemas.openxmlformats.org/officeDocument/2006/relationships/ctrlProp" Target="../ctrlProps/ctrlProp324.xml"/><Relationship Id="rId21" Type="http://schemas.openxmlformats.org/officeDocument/2006/relationships/ctrlProp" Target="../ctrlProps/ctrlProp228.xml"/><Relationship Id="rId42" Type="http://schemas.openxmlformats.org/officeDocument/2006/relationships/ctrlProp" Target="../ctrlProps/ctrlProp249.xml"/><Relationship Id="rId47" Type="http://schemas.openxmlformats.org/officeDocument/2006/relationships/ctrlProp" Target="../ctrlProps/ctrlProp254.xml"/><Relationship Id="rId63" Type="http://schemas.openxmlformats.org/officeDocument/2006/relationships/ctrlProp" Target="../ctrlProps/ctrlProp270.xml"/><Relationship Id="rId68" Type="http://schemas.openxmlformats.org/officeDocument/2006/relationships/ctrlProp" Target="../ctrlProps/ctrlProp275.xml"/><Relationship Id="rId84" Type="http://schemas.openxmlformats.org/officeDocument/2006/relationships/ctrlProp" Target="../ctrlProps/ctrlProp291.xml"/><Relationship Id="rId89" Type="http://schemas.openxmlformats.org/officeDocument/2006/relationships/ctrlProp" Target="../ctrlProps/ctrlProp296.xml"/><Relationship Id="rId112" Type="http://schemas.openxmlformats.org/officeDocument/2006/relationships/ctrlProp" Target="../ctrlProps/ctrlProp319.xml"/><Relationship Id="rId16" Type="http://schemas.openxmlformats.org/officeDocument/2006/relationships/ctrlProp" Target="../ctrlProps/ctrlProp223.xml"/><Relationship Id="rId107" Type="http://schemas.openxmlformats.org/officeDocument/2006/relationships/ctrlProp" Target="../ctrlProps/ctrlProp314.xml"/><Relationship Id="rId11" Type="http://schemas.openxmlformats.org/officeDocument/2006/relationships/ctrlProp" Target="../ctrlProps/ctrlProp218.xml"/><Relationship Id="rId32" Type="http://schemas.openxmlformats.org/officeDocument/2006/relationships/ctrlProp" Target="../ctrlProps/ctrlProp239.xml"/><Relationship Id="rId37" Type="http://schemas.openxmlformats.org/officeDocument/2006/relationships/ctrlProp" Target="../ctrlProps/ctrlProp244.xml"/><Relationship Id="rId53" Type="http://schemas.openxmlformats.org/officeDocument/2006/relationships/ctrlProp" Target="../ctrlProps/ctrlProp260.xml"/><Relationship Id="rId58" Type="http://schemas.openxmlformats.org/officeDocument/2006/relationships/ctrlProp" Target="../ctrlProps/ctrlProp265.xml"/><Relationship Id="rId74" Type="http://schemas.openxmlformats.org/officeDocument/2006/relationships/ctrlProp" Target="../ctrlProps/ctrlProp281.xml"/><Relationship Id="rId79" Type="http://schemas.openxmlformats.org/officeDocument/2006/relationships/ctrlProp" Target="../ctrlProps/ctrlProp286.xml"/><Relationship Id="rId102" Type="http://schemas.openxmlformats.org/officeDocument/2006/relationships/ctrlProp" Target="../ctrlProps/ctrlProp309.xml"/><Relationship Id="rId123" Type="http://schemas.openxmlformats.org/officeDocument/2006/relationships/ctrlProp" Target="../ctrlProps/ctrlProp330.xml"/><Relationship Id="rId5" Type="http://schemas.openxmlformats.org/officeDocument/2006/relationships/ctrlProp" Target="../ctrlProps/ctrlProp212.xml"/><Relationship Id="rId90" Type="http://schemas.openxmlformats.org/officeDocument/2006/relationships/ctrlProp" Target="../ctrlProps/ctrlProp297.xml"/><Relationship Id="rId95" Type="http://schemas.openxmlformats.org/officeDocument/2006/relationships/ctrlProp" Target="../ctrlProps/ctrlProp302.xml"/><Relationship Id="rId22" Type="http://schemas.openxmlformats.org/officeDocument/2006/relationships/ctrlProp" Target="../ctrlProps/ctrlProp229.xml"/><Relationship Id="rId27" Type="http://schemas.openxmlformats.org/officeDocument/2006/relationships/ctrlProp" Target="../ctrlProps/ctrlProp234.xml"/><Relationship Id="rId43" Type="http://schemas.openxmlformats.org/officeDocument/2006/relationships/ctrlProp" Target="../ctrlProps/ctrlProp250.xml"/><Relationship Id="rId48" Type="http://schemas.openxmlformats.org/officeDocument/2006/relationships/ctrlProp" Target="../ctrlProps/ctrlProp255.xml"/><Relationship Id="rId64" Type="http://schemas.openxmlformats.org/officeDocument/2006/relationships/ctrlProp" Target="../ctrlProps/ctrlProp271.xml"/><Relationship Id="rId69" Type="http://schemas.openxmlformats.org/officeDocument/2006/relationships/ctrlProp" Target="../ctrlProps/ctrlProp276.xml"/><Relationship Id="rId113" Type="http://schemas.openxmlformats.org/officeDocument/2006/relationships/ctrlProp" Target="../ctrlProps/ctrlProp320.xml"/><Relationship Id="rId118" Type="http://schemas.openxmlformats.org/officeDocument/2006/relationships/ctrlProp" Target="../ctrlProps/ctrlProp325.xml"/><Relationship Id="rId80" Type="http://schemas.openxmlformats.org/officeDocument/2006/relationships/ctrlProp" Target="../ctrlProps/ctrlProp287.xml"/><Relationship Id="rId85" Type="http://schemas.openxmlformats.org/officeDocument/2006/relationships/ctrlProp" Target="../ctrlProps/ctrlProp292.xml"/><Relationship Id="rId12" Type="http://schemas.openxmlformats.org/officeDocument/2006/relationships/ctrlProp" Target="../ctrlProps/ctrlProp219.xml"/><Relationship Id="rId17" Type="http://schemas.openxmlformats.org/officeDocument/2006/relationships/ctrlProp" Target="../ctrlProps/ctrlProp224.xml"/><Relationship Id="rId33" Type="http://schemas.openxmlformats.org/officeDocument/2006/relationships/ctrlProp" Target="../ctrlProps/ctrlProp240.xml"/><Relationship Id="rId38" Type="http://schemas.openxmlformats.org/officeDocument/2006/relationships/ctrlProp" Target="../ctrlProps/ctrlProp245.xml"/><Relationship Id="rId59" Type="http://schemas.openxmlformats.org/officeDocument/2006/relationships/ctrlProp" Target="../ctrlProps/ctrlProp266.xml"/><Relationship Id="rId103" Type="http://schemas.openxmlformats.org/officeDocument/2006/relationships/ctrlProp" Target="../ctrlProps/ctrlProp310.xml"/><Relationship Id="rId108" Type="http://schemas.openxmlformats.org/officeDocument/2006/relationships/ctrlProp" Target="../ctrlProps/ctrlProp315.xml"/><Relationship Id="rId124" Type="http://schemas.openxmlformats.org/officeDocument/2006/relationships/ctrlProp" Target="../ctrlProps/ctrlProp331.xml"/><Relationship Id="rId54" Type="http://schemas.openxmlformats.org/officeDocument/2006/relationships/ctrlProp" Target="../ctrlProps/ctrlProp261.xml"/><Relationship Id="rId70" Type="http://schemas.openxmlformats.org/officeDocument/2006/relationships/ctrlProp" Target="../ctrlProps/ctrlProp277.xml"/><Relationship Id="rId75" Type="http://schemas.openxmlformats.org/officeDocument/2006/relationships/ctrlProp" Target="../ctrlProps/ctrlProp282.xml"/><Relationship Id="rId91" Type="http://schemas.openxmlformats.org/officeDocument/2006/relationships/ctrlProp" Target="../ctrlProps/ctrlProp298.xml"/><Relationship Id="rId96" Type="http://schemas.openxmlformats.org/officeDocument/2006/relationships/ctrlProp" Target="../ctrlProps/ctrlProp303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3.xml"/><Relationship Id="rId23" Type="http://schemas.openxmlformats.org/officeDocument/2006/relationships/ctrlProp" Target="../ctrlProps/ctrlProp230.xml"/><Relationship Id="rId28" Type="http://schemas.openxmlformats.org/officeDocument/2006/relationships/ctrlProp" Target="../ctrlProps/ctrlProp235.xml"/><Relationship Id="rId49" Type="http://schemas.openxmlformats.org/officeDocument/2006/relationships/ctrlProp" Target="../ctrlProps/ctrlProp256.xml"/><Relationship Id="rId114" Type="http://schemas.openxmlformats.org/officeDocument/2006/relationships/ctrlProp" Target="../ctrlProps/ctrlProp321.xml"/><Relationship Id="rId119" Type="http://schemas.openxmlformats.org/officeDocument/2006/relationships/ctrlProp" Target="../ctrlProps/ctrlProp326.xml"/><Relationship Id="rId44" Type="http://schemas.openxmlformats.org/officeDocument/2006/relationships/ctrlProp" Target="../ctrlProps/ctrlProp251.xml"/><Relationship Id="rId60" Type="http://schemas.openxmlformats.org/officeDocument/2006/relationships/ctrlProp" Target="../ctrlProps/ctrlProp267.xml"/><Relationship Id="rId65" Type="http://schemas.openxmlformats.org/officeDocument/2006/relationships/ctrlProp" Target="../ctrlProps/ctrlProp272.xml"/><Relationship Id="rId81" Type="http://schemas.openxmlformats.org/officeDocument/2006/relationships/ctrlProp" Target="../ctrlProps/ctrlProp288.xml"/><Relationship Id="rId86" Type="http://schemas.openxmlformats.org/officeDocument/2006/relationships/ctrlProp" Target="../ctrlProps/ctrlProp293.xml"/><Relationship Id="rId13" Type="http://schemas.openxmlformats.org/officeDocument/2006/relationships/ctrlProp" Target="../ctrlProps/ctrlProp220.xml"/><Relationship Id="rId18" Type="http://schemas.openxmlformats.org/officeDocument/2006/relationships/ctrlProp" Target="../ctrlProps/ctrlProp225.xml"/><Relationship Id="rId39" Type="http://schemas.openxmlformats.org/officeDocument/2006/relationships/ctrlProp" Target="../ctrlProps/ctrlProp246.xml"/><Relationship Id="rId109" Type="http://schemas.openxmlformats.org/officeDocument/2006/relationships/ctrlProp" Target="../ctrlProps/ctrlProp316.xml"/><Relationship Id="rId34" Type="http://schemas.openxmlformats.org/officeDocument/2006/relationships/ctrlProp" Target="../ctrlProps/ctrlProp241.xml"/><Relationship Id="rId50" Type="http://schemas.openxmlformats.org/officeDocument/2006/relationships/ctrlProp" Target="../ctrlProps/ctrlProp257.xml"/><Relationship Id="rId55" Type="http://schemas.openxmlformats.org/officeDocument/2006/relationships/ctrlProp" Target="../ctrlProps/ctrlProp262.xml"/><Relationship Id="rId76" Type="http://schemas.openxmlformats.org/officeDocument/2006/relationships/ctrlProp" Target="../ctrlProps/ctrlProp283.xml"/><Relationship Id="rId97" Type="http://schemas.openxmlformats.org/officeDocument/2006/relationships/ctrlProp" Target="../ctrlProps/ctrlProp304.xml"/><Relationship Id="rId104" Type="http://schemas.openxmlformats.org/officeDocument/2006/relationships/ctrlProp" Target="../ctrlProps/ctrlProp311.xml"/><Relationship Id="rId120" Type="http://schemas.openxmlformats.org/officeDocument/2006/relationships/ctrlProp" Target="../ctrlProps/ctrlProp327.xml"/><Relationship Id="rId125" Type="http://schemas.openxmlformats.org/officeDocument/2006/relationships/ctrlProp" Target="../ctrlProps/ctrlProp332.xml"/><Relationship Id="rId7" Type="http://schemas.openxmlformats.org/officeDocument/2006/relationships/ctrlProp" Target="../ctrlProps/ctrlProp214.xml"/><Relationship Id="rId71" Type="http://schemas.openxmlformats.org/officeDocument/2006/relationships/ctrlProp" Target="../ctrlProps/ctrlProp278.xml"/><Relationship Id="rId92" Type="http://schemas.openxmlformats.org/officeDocument/2006/relationships/ctrlProp" Target="../ctrlProps/ctrlProp299.xml"/><Relationship Id="rId2" Type="http://schemas.openxmlformats.org/officeDocument/2006/relationships/vmlDrawing" Target="../drawings/vmlDrawing8.vml"/><Relationship Id="rId29" Type="http://schemas.openxmlformats.org/officeDocument/2006/relationships/ctrlProp" Target="../ctrlProps/ctrlProp236.xml"/><Relationship Id="rId24" Type="http://schemas.openxmlformats.org/officeDocument/2006/relationships/ctrlProp" Target="../ctrlProps/ctrlProp231.xml"/><Relationship Id="rId40" Type="http://schemas.openxmlformats.org/officeDocument/2006/relationships/ctrlProp" Target="../ctrlProps/ctrlProp247.xml"/><Relationship Id="rId45" Type="http://schemas.openxmlformats.org/officeDocument/2006/relationships/ctrlProp" Target="../ctrlProps/ctrlProp252.xml"/><Relationship Id="rId66" Type="http://schemas.openxmlformats.org/officeDocument/2006/relationships/ctrlProp" Target="../ctrlProps/ctrlProp273.xml"/><Relationship Id="rId87" Type="http://schemas.openxmlformats.org/officeDocument/2006/relationships/ctrlProp" Target="../ctrlProps/ctrlProp294.xml"/><Relationship Id="rId110" Type="http://schemas.openxmlformats.org/officeDocument/2006/relationships/ctrlProp" Target="../ctrlProps/ctrlProp317.xml"/><Relationship Id="rId115" Type="http://schemas.openxmlformats.org/officeDocument/2006/relationships/ctrlProp" Target="../ctrlProps/ctrlProp322.xml"/><Relationship Id="rId61" Type="http://schemas.openxmlformats.org/officeDocument/2006/relationships/ctrlProp" Target="../ctrlProps/ctrlProp268.xml"/><Relationship Id="rId82" Type="http://schemas.openxmlformats.org/officeDocument/2006/relationships/ctrlProp" Target="../ctrlProps/ctrlProp289.xml"/><Relationship Id="rId19" Type="http://schemas.openxmlformats.org/officeDocument/2006/relationships/ctrlProp" Target="../ctrlProps/ctrlProp226.xml"/><Relationship Id="rId14" Type="http://schemas.openxmlformats.org/officeDocument/2006/relationships/ctrlProp" Target="../ctrlProps/ctrlProp221.xml"/><Relationship Id="rId30" Type="http://schemas.openxmlformats.org/officeDocument/2006/relationships/ctrlProp" Target="../ctrlProps/ctrlProp237.xml"/><Relationship Id="rId35" Type="http://schemas.openxmlformats.org/officeDocument/2006/relationships/ctrlProp" Target="../ctrlProps/ctrlProp242.xml"/><Relationship Id="rId56" Type="http://schemas.openxmlformats.org/officeDocument/2006/relationships/ctrlProp" Target="../ctrlProps/ctrlProp263.xml"/><Relationship Id="rId77" Type="http://schemas.openxmlformats.org/officeDocument/2006/relationships/ctrlProp" Target="../ctrlProps/ctrlProp284.xml"/><Relationship Id="rId100" Type="http://schemas.openxmlformats.org/officeDocument/2006/relationships/ctrlProp" Target="../ctrlProps/ctrlProp307.xml"/><Relationship Id="rId105" Type="http://schemas.openxmlformats.org/officeDocument/2006/relationships/ctrlProp" Target="../ctrlProps/ctrlProp312.xml"/><Relationship Id="rId126" Type="http://schemas.openxmlformats.org/officeDocument/2006/relationships/ctrlProp" Target="../ctrlProps/ctrlProp333.xml"/><Relationship Id="rId8" Type="http://schemas.openxmlformats.org/officeDocument/2006/relationships/ctrlProp" Target="../ctrlProps/ctrlProp215.xml"/><Relationship Id="rId51" Type="http://schemas.openxmlformats.org/officeDocument/2006/relationships/ctrlProp" Target="../ctrlProps/ctrlProp258.xml"/><Relationship Id="rId72" Type="http://schemas.openxmlformats.org/officeDocument/2006/relationships/ctrlProp" Target="../ctrlProps/ctrlProp279.xml"/><Relationship Id="rId93" Type="http://schemas.openxmlformats.org/officeDocument/2006/relationships/ctrlProp" Target="../ctrlProps/ctrlProp300.xml"/><Relationship Id="rId98" Type="http://schemas.openxmlformats.org/officeDocument/2006/relationships/ctrlProp" Target="../ctrlProps/ctrlProp305.xml"/><Relationship Id="rId121" Type="http://schemas.openxmlformats.org/officeDocument/2006/relationships/ctrlProp" Target="../ctrlProps/ctrlProp328.xml"/><Relationship Id="rId3" Type="http://schemas.openxmlformats.org/officeDocument/2006/relationships/ctrlProp" Target="../ctrlProps/ctrlProp210.xml"/><Relationship Id="rId25" Type="http://schemas.openxmlformats.org/officeDocument/2006/relationships/ctrlProp" Target="../ctrlProps/ctrlProp232.xml"/><Relationship Id="rId46" Type="http://schemas.openxmlformats.org/officeDocument/2006/relationships/ctrlProp" Target="../ctrlProps/ctrlProp253.xml"/><Relationship Id="rId67" Type="http://schemas.openxmlformats.org/officeDocument/2006/relationships/ctrlProp" Target="../ctrlProps/ctrlProp274.xml"/><Relationship Id="rId116" Type="http://schemas.openxmlformats.org/officeDocument/2006/relationships/ctrlProp" Target="../ctrlProps/ctrlProp323.xml"/><Relationship Id="rId20" Type="http://schemas.openxmlformats.org/officeDocument/2006/relationships/ctrlProp" Target="../ctrlProps/ctrlProp227.xml"/><Relationship Id="rId41" Type="http://schemas.openxmlformats.org/officeDocument/2006/relationships/ctrlProp" Target="../ctrlProps/ctrlProp248.xml"/><Relationship Id="rId62" Type="http://schemas.openxmlformats.org/officeDocument/2006/relationships/ctrlProp" Target="../ctrlProps/ctrlProp269.xml"/><Relationship Id="rId83" Type="http://schemas.openxmlformats.org/officeDocument/2006/relationships/ctrlProp" Target="../ctrlProps/ctrlProp290.xml"/><Relationship Id="rId88" Type="http://schemas.openxmlformats.org/officeDocument/2006/relationships/ctrlProp" Target="../ctrlProps/ctrlProp295.xml"/><Relationship Id="rId111" Type="http://schemas.openxmlformats.org/officeDocument/2006/relationships/ctrlProp" Target="../ctrlProps/ctrlProp318.xml"/><Relationship Id="rId15" Type="http://schemas.openxmlformats.org/officeDocument/2006/relationships/ctrlProp" Target="../ctrlProps/ctrlProp222.xml"/><Relationship Id="rId36" Type="http://schemas.openxmlformats.org/officeDocument/2006/relationships/ctrlProp" Target="../ctrlProps/ctrlProp243.xml"/><Relationship Id="rId57" Type="http://schemas.openxmlformats.org/officeDocument/2006/relationships/ctrlProp" Target="../ctrlProps/ctrlProp264.xml"/><Relationship Id="rId106" Type="http://schemas.openxmlformats.org/officeDocument/2006/relationships/ctrlProp" Target="../ctrlProps/ctrlProp313.xml"/><Relationship Id="rId127" Type="http://schemas.openxmlformats.org/officeDocument/2006/relationships/ctrlProp" Target="../ctrlProps/ctrlProp334.xml"/><Relationship Id="rId10" Type="http://schemas.openxmlformats.org/officeDocument/2006/relationships/ctrlProp" Target="../ctrlProps/ctrlProp217.xml"/><Relationship Id="rId31" Type="http://schemas.openxmlformats.org/officeDocument/2006/relationships/ctrlProp" Target="../ctrlProps/ctrlProp238.xml"/><Relationship Id="rId52" Type="http://schemas.openxmlformats.org/officeDocument/2006/relationships/ctrlProp" Target="../ctrlProps/ctrlProp259.xml"/><Relationship Id="rId73" Type="http://schemas.openxmlformats.org/officeDocument/2006/relationships/ctrlProp" Target="../ctrlProps/ctrlProp280.xml"/><Relationship Id="rId78" Type="http://schemas.openxmlformats.org/officeDocument/2006/relationships/ctrlProp" Target="../ctrlProps/ctrlProp285.xml"/><Relationship Id="rId94" Type="http://schemas.openxmlformats.org/officeDocument/2006/relationships/ctrlProp" Target="../ctrlProps/ctrlProp301.xml"/><Relationship Id="rId99" Type="http://schemas.openxmlformats.org/officeDocument/2006/relationships/ctrlProp" Target="../ctrlProps/ctrlProp306.xml"/><Relationship Id="rId101" Type="http://schemas.openxmlformats.org/officeDocument/2006/relationships/ctrlProp" Target="../ctrlProps/ctrlProp308.xml"/><Relationship Id="rId122" Type="http://schemas.openxmlformats.org/officeDocument/2006/relationships/ctrlProp" Target="../ctrlProps/ctrlProp329.xml"/><Relationship Id="rId4" Type="http://schemas.openxmlformats.org/officeDocument/2006/relationships/ctrlProp" Target="../ctrlProps/ctrlProp211.xml"/><Relationship Id="rId9" Type="http://schemas.openxmlformats.org/officeDocument/2006/relationships/ctrlProp" Target="../ctrlProps/ctrlProp216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9.xml"/><Relationship Id="rId21" Type="http://schemas.openxmlformats.org/officeDocument/2006/relationships/ctrlProp" Target="../ctrlProps/ctrlProp353.xml"/><Relationship Id="rId42" Type="http://schemas.openxmlformats.org/officeDocument/2006/relationships/ctrlProp" Target="../ctrlProps/ctrlProp374.xml"/><Relationship Id="rId63" Type="http://schemas.openxmlformats.org/officeDocument/2006/relationships/ctrlProp" Target="../ctrlProps/ctrlProp395.xml"/><Relationship Id="rId84" Type="http://schemas.openxmlformats.org/officeDocument/2006/relationships/ctrlProp" Target="../ctrlProps/ctrlProp416.xml"/><Relationship Id="rId138" Type="http://schemas.openxmlformats.org/officeDocument/2006/relationships/ctrlProp" Target="../ctrlProps/ctrlProp470.xml"/><Relationship Id="rId107" Type="http://schemas.openxmlformats.org/officeDocument/2006/relationships/ctrlProp" Target="../ctrlProps/ctrlProp439.xml"/><Relationship Id="rId11" Type="http://schemas.openxmlformats.org/officeDocument/2006/relationships/ctrlProp" Target="../ctrlProps/ctrlProp343.xml"/><Relationship Id="rId32" Type="http://schemas.openxmlformats.org/officeDocument/2006/relationships/ctrlProp" Target="../ctrlProps/ctrlProp364.xml"/><Relationship Id="rId53" Type="http://schemas.openxmlformats.org/officeDocument/2006/relationships/ctrlProp" Target="../ctrlProps/ctrlProp385.xml"/><Relationship Id="rId74" Type="http://schemas.openxmlformats.org/officeDocument/2006/relationships/ctrlProp" Target="../ctrlProps/ctrlProp406.xml"/><Relationship Id="rId128" Type="http://schemas.openxmlformats.org/officeDocument/2006/relationships/ctrlProp" Target="../ctrlProps/ctrlProp460.xml"/><Relationship Id="rId149" Type="http://schemas.openxmlformats.org/officeDocument/2006/relationships/ctrlProp" Target="../ctrlProps/ctrlProp481.xml"/><Relationship Id="rId5" Type="http://schemas.openxmlformats.org/officeDocument/2006/relationships/ctrlProp" Target="../ctrlProps/ctrlProp337.xml"/><Relationship Id="rId95" Type="http://schemas.openxmlformats.org/officeDocument/2006/relationships/ctrlProp" Target="../ctrlProps/ctrlProp427.xml"/><Relationship Id="rId22" Type="http://schemas.openxmlformats.org/officeDocument/2006/relationships/ctrlProp" Target="../ctrlProps/ctrlProp354.xml"/><Relationship Id="rId43" Type="http://schemas.openxmlformats.org/officeDocument/2006/relationships/ctrlProp" Target="../ctrlProps/ctrlProp375.xml"/><Relationship Id="rId64" Type="http://schemas.openxmlformats.org/officeDocument/2006/relationships/ctrlProp" Target="../ctrlProps/ctrlProp396.xml"/><Relationship Id="rId118" Type="http://schemas.openxmlformats.org/officeDocument/2006/relationships/ctrlProp" Target="../ctrlProps/ctrlProp450.xml"/><Relationship Id="rId139" Type="http://schemas.openxmlformats.org/officeDocument/2006/relationships/ctrlProp" Target="../ctrlProps/ctrlProp471.xml"/><Relationship Id="rId80" Type="http://schemas.openxmlformats.org/officeDocument/2006/relationships/ctrlProp" Target="../ctrlProps/ctrlProp412.xml"/><Relationship Id="rId85" Type="http://schemas.openxmlformats.org/officeDocument/2006/relationships/ctrlProp" Target="../ctrlProps/ctrlProp417.xml"/><Relationship Id="rId150" Type="http://schemas.openxmlformats.org/officeDocument/2006/relationships/ctrlProp" Target="../ctrlProps/ctrlProp482.xml"/><Relationship Id="rId155" Type="http://schemas.openxmlformats.org/officeDocument/2006/relationships/ctrlProp" Target="../ctrlProps/ctrlProp487.xml"/><Relationship Id="rId12" Type="http://schemas.openxmlformats.org/officeDocument/2006/relationships/ctrlProp" Target="../ctrlProps/ctrlProp344.xml"/><Relationship Id="rId17" Type="http://schemas.openxmlformats.org/officeDocument/2006/relationships/ctrlProp" Target="../ctrlProps/ctrlProp349.xml"/><Relationship Id="rId33" Type="http://schemas.openxmlformats.org/officeDocument/2006/relationships/ctrlProp" Target="../ctrlProps/ctrlProp365.xml"/><Relationship Id="rId38" Type="http://schemas.openxmlformats.org/officeDocument/2006/relationships/ctrlProp" Target="../ctrlProps/ctrlProp370.xml"/><Relationship Id="rId59" Type="http://schemas.openxmlformats.org/officeDocument/2006/relationships/ctrlProp" Target="../ctrlProps/ctrlProp391.xml"/><Relationship Id="rId103" Type="http://schemas.openxmlformats.org/officeDocument/2006/relationships/ctrlProp" Target="../ctrlProps/ctrlProp435.xml"/><Relationship Id="rId108" Type="http://schemas.openxmlformats.org/officeDocument/2006/relationships/ctrlProp" Target="../ctrlProps/ctrlProp440.xml"/><Relationship Id="rId124" Type="http://schemas.openxmlformats.org/officeDocument/2006/relationships/ctrlProp" Target="../ctrlProps/ctrlProp456.xml"/><Relationship Id="rId129" Type="http://schemas.openxmlformats.org/officeDocument/2006/relationships/ctrlProp" Target="../ctrlProps/ctrlProp461.xml"/><Relationship Id="rId54" Type="http://schemas.openxmlformats.org/officeDocument/2006/relationships/ctrlProp" Target="../ctrlProps/ctrlProp386.xml"/><Relationship Id="rId70" Type="http://schemas.openxmlformats.org/officeDocument/2006/relationships/ctrlProp" Target="../ctrlProps/ctrlProp402.xml"/><Relationship Id="rId75" Type="http://schemas.openxmlformats.org/officeDocument/2006/relationships/ctrlProp" Target="../ctrlProps/ctrlProp407.xml"/><Relationship Id="rId91" Type="http://schemas.openxmlformats.org/officeDocument/2006/relationships/ctrlProp" Target="../ctrlProps/ctrlProp423.xml"/><Relationship Id="rId96" Type="http://schemas.openxmlformats.org/officeDocument/2006/relationships/ctrlProp" Target="../ctrlProps/ctrlProp428.xml"/><Relationship Id="rId140" Type="http://schemas.openxmlformats.org/officeDocument/2006/relationships/ctrlProp" Target="../ctrlProps/ctrlProp472.xml"/><Relationship Id="rId145" Type="http://schemas.openxmlformats.org/officeDocument/2006/relationships/ctrlProp" Target="../ctrlProps/ctrlProp47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38.xml"/><Relationship Id="rId23" Type="http://schemas.openxmlformats.org/officeDocument/2006/relationships/ctrlProp" Target="../ctrlProps/ctrlProp355.xml"/><Relationship Id="rId28" Type="http://schemas.openxmlformats.org/officeDocument/2006/relationships/ctrlProp" Target="../ctrlProps/ctrlProp360.xml"/><Relationship Id="rId49" Type="http://schemas.openxmlformats.org/officeDocument/2006/relationships/ctrlProp" Target="../ctrlProps/ctrlProp381.xml"/><Relationship Id="rId114" Type="http://schemas.openxmlformats.org/officeDocument/2006/relationships/ctrlProp" Target="../ctrlProps/ctrlProp446.xml"/><Relationship Id="rId119" Type="http://schemas.openxmlformats.org/officeDocument/2006/relationships/ctrlProp" Target="../ctrlProps/ctrlProp451.xml"/><Relationship Id="rId44" Type="http://schemas.openxmlformats.org/officeDocument/2006/relationships/ctrlProp" Target="../ctrlProps/ctrlProp376.xml"/><Relationship Id="rId60" Type="http://schemas.openxmlformats.org/officeDocument/2006/relationships/ctrlProp" Target="../ctrlProps/ctrlProp392.xml"/><Relationship Id="rId65" Type="http://schemas.openxmlformats.org/officeDocument/2006/relationships/ctrlProp" Target="../ctrlProps/ctrlProp397.xml"/><Relationship Id="rId81" Type="http://schemas.openxmlformats.org/officeDocument/2006/relationships/ctrlProp" Target="../ctrlProps/ctrlProp413.xml"/><Relationship Id="rId86" Type="http://schemas.openxmlformats.org/officeDocument/2006/relationships/ctrlProp" Target="../ctrlProps/ctrlProp418.xml"/><Relationship Id="rId130" Type="http://schemas.openxmlformats.org/officeDocument/2006/relationships/ctrlProp" Target="../ctrlProps/ctrlProp462.xml"/><Relationship Id="rId135" Type="http://schemas.openxmlformats.org/officeDocument/2006/relationships/ctrlProp" Target="../ctrlProps/ctrlProp467.xml"/><Relationship Id="rId151" Type="http://schemas.openxmlformats.org/officeDocument/2006/relationships/ctrlProp" Target="../ctrlProps/ctrlProp483.xml"/><Relationship Id="rId156" Type="http://schemas.openxmlformats.org/officeDocument/2006/relationships/ctrlProp" Target="../ctrlProps/ctrlProp488.xml"/><Relationship Id="rId13" Type="http://schemas.openxmlformats.org/officeDocument/2006/relationships/ctrlProp" Target="../ctrlProps/ctrlProp345.xml"/><Relationship Id="rId18" Type="http://schemas.openxmlformats.org/officeDocument/2006/relationships/ctrlProp" Target="../ctrlProps/ctrlProp350.xml"/><Relationship Id="rId39" Type="http://schemas.openxmlformats.org/officeDocument/2006/relationships/ctrlProp" Target="../ctrlProps/ctrlProp371.xml"/><Relationship Id="rId109" Type="http://schemas.openxmlformats.org/officeDocument/2006/relationships/ctrlProp" Target="../ctrlProps/ctrlProp441.xml"/><Relationship Id="rId34" Type="http://schemas.openxmlformats.org/officeDocument/2006/relationships/ctrlProp" Target="../ctrlProps/ctrlProp366.xml"/><Relationship Id="rId50" Type="http://schemas.openxmlformats.org/officeDocument/2006/relationships/ctrlProp" Target="../ctrlProps/ctrlProp382.xml"/><Relationship Id="rId55" Type="http://schemas.openxmlformats.org/officeDocument/2006/relationships/ctrlProp" Target="../ctrlProps/ctrlProp387.xml"/><Relationship Id="rId76" Type="http://schemas.openxmlformats.org/officeDocument/2006/relationships/ctrlProp" Target="../ctrlProps/ctrlProp408.xml"/><Relationship Id="rId97" Type="http://schemas.openxmlformats.org/officeDocument/2006/relationships/ctrlProp" Target="../ctrlProps/ctrlProp429.xml"/><Relationship Id="rId104" Type="http://schemas.openxmlformats.org/officeDocument/2006/relationships/ctrlProp" Target="../ctrlProps/ctrlProp436.xml"/><Relationship Id="rId120" Type="http://schemas.openxmlformats.org/officeDocument/2006/relationships/ctrlProp" Target="../ctrlProps/ctrlProp452.xml"/><Relationship Id="rId125" Type="http://schemas.openxmlformats.org/officeDocument/2006/relationships/ctrlProp" Target="../ctrlProps/ctrlProp457.xml"/><Relationship Id="rId141" Type="http://schemas.openxmlformats.org/officeDocument/2006/relationships/ctrlProp" Target="../ctrlProps/ctrlProp473.xml"/><Relationship Id="rId146" Type="http://schemas.openxmlformats.org/officeDocument/2006/relationships/ctrlProp" Target="../ctrlProps/ctrlProp478.xml"/><Relationship Id="rId7" Type="http://schemas.openxmlformats.org/officeDocument/2006/relationships/ctrlProp" Target="../ctrlProps/ctrlProp339.xml"/><Relationship Id="rId71" Type="http://schemas.openxmlformats.org/officeDocument/2006/relationships/ctrlProp" Target="../ctrlProps/ctrlProp403.xml"/><Relationship Id="rId92" Type="http://schemas.openxmlformats.org/officeDocument/2006/relationships/ctrlProp" Target="../ctrlProps/ctrlProp42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361.xml"/><Relationship Id="rId24" Type="http://schemas.openxmlformats.org/officeDocument/2006/relationships/ctrlProp" Target="../ctrlProps/ctrlProp356.xml"/><Relationship Id="rId40" Type="http://schemas.openxmlformats.org/officeDocument/2006/relationships/ctrlProp" Target="../ctrlProps/ctrlProp372.xml"/><Relationship Id="rId45" Type="http://schemas.openxmlformats.org/officeDocument/2006/relationships/ctrlProp" Target="../ctrlProps/ctrlProp377.xml"/><Relationship Id="rId66" Type="http://schemas.openxmlformats.org/officeDocument/2006/relationships/ctrlProp" Target="../ctrlProps/ctrlProp398.xml"/><Relationship Id="rId87" Type="http://schemas.openxmlformats.org/officeDocument/2006/relationships/ctrlProp" Target="../ctrlProps/ctrlProp419.xml"/><Relationship Id="rId110" Type="http://schemas.openxmlformats.org/officeDocument/2006/relationships/ctrlProp" Target="../ctrlProps/ctrlProp442.xml"/><Relationship Id="rId115" Type="http://schemas.openxmlformats.org/officeDocument/2006/relationships/ctrlProp" Target="../ctrlProps/ctrlProp447.xml"/><Relationship Id="rId131" Type="http://schemas.openxmlformats.org/officeDocument/2006/relationships/ctrlProp" Target="../ctrlProps/ctrlProp463.xml"/><Relationship Id="rId136" Type="http://schemas.openxmlformats.org/officeDocument/2006/relationships/ctrlProp" Target="../ctrlProps/ctrlProp468.xml"/><Relationship Id="rId157" Type="http://schemas.openxmlformats.org/officeDocument/2006/relationships/ctrlProp" Target="../ctrlProps/ctrlProp489.xml"/><Relationship Id="rId61" Type="http://schemas.openxmlformats.org/officeDocument/2006/relationships/ctrlProp" Target="../ctrlProps/ctrlProp393.xml"/><Relationship Id="rId82" Type="http://schemas.openxmlformats.org/officeDocument/2006/relationships/ctrlProp" Target="../ctrlProps/ctrlProp414.xml"/><Relationship Id="rId152" Type="http://schemas.openxmlformats.org/officeDocument/2006/relationships/ctrlProp" Target="../ctrlProps/ctrlProp484.xml"/><Relationship Id="rId19" Type="http://schemas.openxmlformats.org/officeDocument/2006/relationships/ctrlProp" Target="../ctrlProps/ctrlProp351.xml"/><Relationship Id="rId14" Type="http://schemas.openxmlformats.org/officeDocument/2006/relationships/ctrlProp" Target="../ctrlProps/ctrlProp346.xml"/><Relationship Id="rId30" Type="http://schemas.openxmlformats.org/officeDocument/2006/relationships/ctrlProp" Target="../ctrlProps/ctrlProp362.xml"/><Relationship Id="rId35" Type="http://schemas.openxmlformats.org/officeDocument/2006/relationships/ctrlProp" Target="../ctrlProps/ctrlProp367.xml"/><Relationship Id="rId56" Type="http://schemas.openxmlformats.org/officeDocument/2006/relationships/ctrlProp" Target="../ctrlProps/ctrlProp388.xml"/><Relationship Id="rId77" Type="http://schemas.openxmlformats.org/officeDocument/2006/relationships/ctrlProp" Target="../ctrlProps/ctrlProp409.xml"/><Relationship Id="rId100" Type="http://schemas.openxmlformats.org/officeDocument/2006/relationships/ctrlProp" Target="../ctrlProps/ctrlProp432.xml"/><Relationship Id="rId105" Type="http://schemas.openxmlformats.org/officeDocument/2006/relationships/ctrlProp" Target="../ctrlProps/ctrlProp437.xml"/><Relationship Id="rId126" Type="http://schemas.openxmlformats.org/officeDocument/2006/relationships/ctrlProp" Target="../ctrlProps/ctrlProp458.xml"/><Relationship Id="rId147" Type="http://schemas.openxmlformats.org/officeDocument/2006/relationships/ctrlProp" Target="../ctrlProps/ctrlProp479.xml"/><Relationship Id="rId8" Type="http://schemas.openxmlformats.org/officeDocument/2006/relationships/ctrlProp" Target="../ctrlProps/ctrlProp340.xml"/><Relationship Id="rId51" Type="http://schemas.openxmlformats.org/officeDocument/2006/relationships/ctrlProp" Target="../ctrlProps/ctrlProp383.xml"/><Relationship Id="rId72" Type="http://schemas.openxmlformats.org/officeDocument/2006/relationships/ctrlProp" Target="../ctrlProps/ctrlProp404.xml"/><Relationship Id="rId93" Type="http://schemas.openxmlformats.org/officeDocument/2006/relationships/ctrlProp" Target="../ctrlProps/ctrlProp425.xml"/><Relationship Id="rId98" Type="http://schemas.openxmlformats.org/officeDocument/2006/relationships/ctrlProp" Target="../ctrlProps/ctrlProp430.xml"/><Relationship Id="rId121" Type="http://schemas.openxmlformats.org/officeDocument/2006/relationships/ctrlProp" Target="../ctrlProps/ctrlProp453.xml"/><Relationship Id="rId142" Type="http://schemas.openxmlformats.org/officeDocument/2006/relationships/ctrlProp" Target="../ctrlProps/ctrlProp474.xml"/><Relationship Id="rId3" Type="http://schemas.openxmlformats.org/officeDocument/2006/relationships/ctrlProp" Target="../ctrlProps/ctrlProp335.xml"/><Relationship Id="rId25" Type="http://schemas.openxmlformats.org/officeDocument/2006/relationships/ctrlProp" Target="../ctrlProps/ctrlProp357.xml"/><Relationship Id="rId46" Type="http://schemas.openxmlformats.org/officeDocument/2006/relationships/ctrlProp" Target="../ctrlProps/ctrlProp378.xml"/><Relationship Id="rId67" Type="http://schemas.openxmlformats.org/officeDocument/2006/relationships/ctrlProp" Target="../ctrlProps/ctrlProp399.xml"/><Relationship Id="rId116" Type="http://schemas.openxmlformats.org/officeDocument/2006/relationships/ctrlProp" Target="../ctrlProps/ctrlProp448.xml"/><Relationship Id="rId137" Type="http://schemas.openxmlformats.org/officeDocument/2006/relationships/ctrlProp" Target="../ctrlProps/ctrlProp469.xml"/><Relationship Id="rId158" Type="http://schemas.openxmlformats.org/officeDocument/2006/relationships/ctrlProp" Target="../ctrlProps/ctrlProp490.xml"/><Relationship Id="rId20" Type="http://schemas.openxmlformats.org/officeDocument/2006/relationships/ctrlProp" Target="../ctrlProps/ctrlProp352.xml"/><Relationship Id="rId41" Type="http://schemas.openxmlformats.org/officeDocument/2006/relationships/ctrlProp" Target="../ctrlProps/ctrlProp373.xml"/><Relationship Id="rId62" Type="http://schemas.openxmlformats.org/officeDocument/2006/relationships/ctrlProp" Target="../ctrlProps/ctrlProp394.xml"/><Relationship Id="rId83" Type="http://schemas.openxmlformats.org/officeDocument/2006/relationships/ctrlProp" Target="../ctrlProps/ctrlProp415.xml"/><Relationship Id="rId88" Type="http://schemas.openxmlformats.org/officeDocument/2006/relationships/ctrlProp" Target="../ctrlProps/ctrlProp420.xml"/><Relationship Id="rId111" Type="http://schemas.openxmlformats.org/officeDocument/2006/relationships/ctrlProp" Target="../ctrlProps/ctrlProp443.xml"/><Relationship Id="rId132" Type="http://schemas.openxmlformats.org/officeDocument/2006/relationships/ctrlProp" Target="../ctrlProps/ctrlProp464.xml"/><Relationship Id="rId153" Type="http://schemas.openxmlformats.org/officeDocument/2006/relationships/ctrlProp" Target="../ctrlProps/ctrlProp485.xml"/><Relationship Id="rId15" Type="http://schemas.openxmlformats.org/officeDocument/2006/relationships/ctrlProp" Target="../ctrlProps/ctrlProp347.xml"/><Relationship Id="rId36" Type="http://schemas.openxmlformats.org/officeDocument/2006/relationships/ctrlProp" Target="../ctrlProps/ctrlProp368.xml"/><Relationship Id="rId57" Type="http://schemas.openxmlformats.org/officeDocument/2006/relationships/ctrlProp" Target="../ctrlProps/ctrlProp389.xml"/><Relationship Id="rId106" Type="http://schemas.openxmlformats.org/officeDocument/2006/relationships/ctrlProp" Target="../ctrlProps/ctrlProp438.xml"/><Relationship Id="rId127" Type="http://schemas.openxmlformats.org/officeDocument/2006/relationships/ctrlProp" Target="../ctrlProps/ctrlProp459.xml"/><Relationship Id="rId10" Type="http://schemas.openxmlformats.org/officeDocument/2006/relationships/ctrlProp" Target="../ctrlProps/ctrlProp342.xml"/><Relationship Id="rId31" Type="http://schemas.openxmlformats.org/officeDocument/2006/relationships/ctrlProp" Target="../ctrlProps/ctrlProp363.xml"/><Relationship Id="rId52" Type="http://schemas.openxmlformats.org/officeDocument/2006/relationships/ctrlProp" Target="../ctrlProps/ctrlProp384.xml"/><Relationship Id="rId73" Type="http://schemas.openxmlformats.org/officeDocument/2006/relationships/ctrlProp" Target="../ctrlProps/ctrlProp405.xml"/><Relationship Id="rId78" Type="http://schemas.openxmlformats.org/officeDocument/2006/relationships/ctrlProp" Target="../ctrlProps/ctrlProp410.xml"/><Relationship Id="rId94" Type="http://schemas.openxmlformats.org/officeDocument/2006/relationships/ctrlProp" Target="../ctrlProps/ctrlProp426.xml"/><Relationship Id="rId99" Type="http://schemas.openxmlformats.org/officeDocument/2006/relationships/ctrlProp" Target="../ctrlProps/ctrlProp431.xml"/><Relationship Id="rId101" Type="http://schemas.openxmlformats.org/officeDocument/2006/relationships/ctrlProp" Target="../ctrlProps/ctrlProp433.xml"/><Relationship Id="rId122" Type="http://schemas.openxmlformats.org/officeDocument/2006/relationships/ctrlProp" Target="../ctrlProps/ctrlProp454.xml"/><Relationship Id="rId143" Type="http://schemas.openxmlformats.org/officeDocument/2006/relationships/ctrlProp" Target="../ctrlProps/ctrlProp475.xml"/><Relationship Id="rId148" Type="http://schemas.openxmlformats.org/officeDocument/2006/relationships/ctrlProp" Target="../ctrlProps/ctrlProp480.xml"/><Relationship Id="rId4" Type="http://schemas.openxmlformats.org/officeDocument/2006/relationships/ctrlProp" Target="../ctrlProps/ctrlProp336.xml"/><Relationship Id="rId9" Type="http://schemas.openxmlformats.org/officeDocument/2006/relationships/ctrlProp" Target="../ctrlProps/ctrlProp341.xml"/><Relationship Id="rId26" Type="http://schemas.openxmlformats.org/officeDocument/2006/relationships/ctrlProp" Target="../ctrlProps/ctrlProp358.xml"/><Relationship Id="rId47" Type="http://schemas.openxmlformats.org/officeDocument/2006/relationships/ctrlProp" Target="../ctrlProps/ctrlProp379.xml"/><Relationship Id="rId68" Type="http://schemas.openxmlformats.org/officeDocument/2006/relationships/ctrlProp" Target="../ctrlProps/ctrlProp400.xml"/><Relationship Id="rId89" Type="http://schemas.openxmlformats.org/officeDocument/2006/relationships/ctrlProp" Target="../ctrlProps/ctrlProp421.xml"/><Relationship Id="rId112" Type="http://schemas.openxmlformats.org/officeDocument/2006/relationships/ctrlProp" Target="../ctrlProps/ctrlProp444.xml"/><Relationship Id="rId133" Type="http://schemas.openxmlformats.org/officeDocument/2006/relationships/ctrlProp" Target="../ctrlProps/ctrlProp465.xml"/><Relationship Id="rId154" Type="http://schemas.openxmlformats.org/officeDocument/2006/relationships/ctrlProp" Target="../ctrlProps/ctrlProp486.xml"/><Relationship Id="rId16" Type="http://schemas.openxmlformats.org/officeDocument/2006/relationships/ctrlProp" Target="../ctrlProps/ctrlProp348.xml"/><Relationship Id="rId37" Type="http://schemas.openxmlformats.org/officeDocument/2006/relationships/ctrlProp" Target="../ctrlProps/ctrlProp369.xml"/><Relationship Id="rId58" Type="http://schemas.openxmlformats.org/officeDocument/2006/relationships/ctrlProp" Target="../ctrlProps/ctrlProp390.xml"/><Relationship Id="rId79" Type="http://schemas.openxmlformats.org/officeDocument/2006/relationships/ctrlProp" Target="../ctrlProps/ctrlProp411.xml"/><Relationship Id="rId102" Type="http://schemas.openxmlformats.org/officeDocument/2006/relationships/ctrlProp" Target="../ctrlProps/ctrlProp434.xml"/><Relationship Id="rId123" Type="http://schemas.openxmlformats.org/officeDocument/2006/relationships/ctrlProp" Target="../ctrlProps/ctrlProp455.xml"/><Relationship Id="rId144" Type="http://schemas.openxmlformats.org/officeDocument/2006/relationships/ctrlProp" Target="../ctrlProps/ctrlProp476.xml"/><Relationship Id="rId90" Type="http://schemas.openxmlformats.org/officeDocument/2006/relationships/ctrlProp" Target="../ctrlProps/ctrlProp422.xml"/><Relationship Id="rId27" Type="http://schemas.openxmlformats.org/officeDocument/2006/relationships/ctrlProp" Target="../ctrlProps/ctrlProp359.xml"/><Relationship Id="rId48" Type="http://schemas.openxmlformats.org/officeDocument/2006/relationships/ctrlProp" Target="../ctrlProps/ctrlProp380.xml"/><Relationship Id="rId69" Type="http://schemas.openxmlformats.org/officeDocument/2006/relationships/ctrlProp" Target="../ctrlProps/ctrlProp401.xml"/><Relationship Id="rId113" Type="http://schemas.openxmlformats.org/officeDocument/2006/relationships/ctrlProp" Target="../ctrlProps/ctrlProp445.xml"/><Relationship Id="rId134" Type="http://schemas.openxmlformats.org/officeDocument/2006/relationships/ctrlProp" Target="../ctrlProps/ctrlProp466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14.xml"/><Relationship Id="rId21" Type="http://schemas.openxmlformats.org/officeDocument/2006/relationships/ctrlProp" Target="../ctrlProps/ctrlProp509.xml"/><Relationship Id="rId42" Type="http://schemas.openxmlformats.org/officeDocument/2006/relationships/ctrlProp" Target="../ctrlProps/ctrlProp530.xml"/><Relationship Id="rId47" Type="http://schemas.openxmlformats.org/officeDocument/2006/relationships/ctrlProp" Target="../ctrlProps/ctrlProp535.xml"/><Relationship Id="rId63" Type="http://schemas.openxmlformats.org/officeDocument/2006/relationships/ctrlProp" Target="../ctrlProps/ctrlProp551.xml"/><Relationship Id="rId68" Type="http://schemas.openxmlformats.org/officeDocument/2006/relationships/ctrlProp" Target="../ctrlProps/ctrlProp556.xml"/><Relationship Id="rId84" Type="http://schemas.openxmlformats.org/officeDocument/2006/relationships/ctrlProp" Target="../ctrlProps/ctrlProp572.xml"/><Relationship Id="rId89" Type="http://schemas.openxmlformats.org/officeDocument/2006/relationships/ctrlProp" Target="../ctrlProps/ctrlProp577.xml"/><Relationship Id="rId16" Type="http://schemas.openxmlformats.org/officeDocument/2006/relationships/ctrlProp" Target="../ctrlProps/ctrlProp504.xml"/><Relationship Id="rId11" Type="http://schemas.openxmlformats.org/officeDocument/2006/relationships/ctrlProp" Target="../ctrlProps/ctrlProp499.xml"/><Relationship Id="rId32" Type="http://schemas.openxmlformats.org/officeDocument/2006/relationships/ctrlProp" Target="../ctrlProps/ctrlProp520.xml"/><Relationship Id="rId37" Type="http://schemas.openxmlformats.org/officeDocument/2006/relationships/ctrlProp" Target="../ctrlProps/ctrlProp525.xml"/><Relationship Id="rId53" Type="http://schemas.openxmlformats.org/officeDocument/2006/relationships/ctrlProp" Target="../ctrlProps/ctrlProp541.xml"/><Relationship Id="rId58" Type="http://schemas.openxmlformats.org/officeDocument/2006/relationships/ctrlProp" Target="../ctrlProps/ctrlProp546.xml"/><Relationship Id="rId74" Type="http://schemas.openxmlformats.org/officeDocument/2006/relationships/ctrlProp" Target="../ctrlProps/ctrlProp562.xml"/><Relationship Id="rId79" Type="http://schemas.openxmlformats.org/officeDocument/2006/relationships/ctrlProp" Target="../ctrlProps/ctrlProp567.xml"/><Relationship Id="rId5" Type="http://schemas.openxmlformats.org/officeDocument/2006/relationships/ctrlProp" Target="../ctrlProps/ctrlProp493.xml"/><Relationship Id="rId90" Type="http://schemas.openxmlformats.org/officeDocument/2006/relationships/ctrlProp" Target="../ctrlProps/ctrlProp578.xml"/><Relationship Id="rId95" Type="http://schemas.openxmlformats.org/officeDocument/2006/relationships/ctrlProp" Target="../ctrlProps/ctrlProp583.xml"/><Relationship Id="rId22" Type="http://schemas.openxmlformats.org/officeDocument/2006/relationships/ctrlProp" Target="../ctrlProps/ctrlProp510.xml"/><Relationship Id="rId27" Type="http://schemas.openxmlformats.org/officeDocument/2006/relationships/ctrlProp" Target="../ctrlProps/ctrlProp515.xml"/><Relationship Id="rId43" Type="http://schemas.openxmlformats.org/officeDocument/2006/relationships/ctrlProp" Target="../ctrlProps/ctrlProp531.xml"/><Relationship Id="rId48" Type="http://schemas.openxmlformats.org/officeDocument/2006/relationships/ctrlProp" Target="../ctrlProps/ctrlProp536.xml"/><Relationship Id="rId64" Type="http://schemas.openxmlformats.org/officeDocument/2006/relationships/ctrlProp" Target="../ctrlProps/ctrlProp552.xml"/><Relationship Id="rId69" Type="http://schemas.openxmlformats.org/officeDocument/2006/relationships/ctrlProp" Target="../ctrlProps/ctrlProp557.xml"/><Relationship Id="rId8" Type="http://schemas.openxmlformats.org/officeDocument/2006/relationships/ctrlProp" Target="../ctrlProps/ctrlProp496.xml"/><Relationship Id="rId51" Type="http://schemas.openxmlformats.org/officeDocument/2006/relationships/ctrlProp" Target="../ctrlProps/ctrlProp539.xml"/><Relationship Id="rId72" Type="http://schemas.openxmlformats.org/officeDocument/2006/relationships/ctrlProp" Target="../ctrlProps/ctrlProp560.xml"/><Relationship Id="rId80" Type="http://schemas.openxmlformats.org/officeDocument/2006/relationships/ctrlProp" Target="../ctrlProps/ctrlProp568.xml"/><Relationship Id="rId85" Type="http://schemas.openxmlformats.org/officeDocument/2006/relationships/ctrlProp" Target="../ctrlProps/ctrlProp573.xml"/><Relationship Id="rId93" Type="http://schemas.openxmlformats.org/officeDocument/2006/relationships/ctrlProp" Target="../ctrlProps/ctrlProp581.xml"/><Relationship Id="rId3" Type="http://schemas.openxmlformats.org/officeDocument/2006/relationships/ctrlProp" Target="../ctrlProps/ctrlProp491.xml"/><Relationship Id="rId12" Type="http://schemas.openxmlformats.org/officeDocument/2006/relationships/ctrlProp" Target="../ctrlProps/ctrlProp500.xml"/><Relationship Id="rId17" Type="http://schemas.openxmlformats.org/officeDocument/2006/relationships/ctrlProp" Target="../ctrlProps/ctrlProp505.xml"/><Relationship Id="rId25" Type="http://schemas.openxmlformats.org/officeDocument/2006/relationships/ctrlProp" Target="../ctrlProps/ctrlProp513.xml"/><Relationship Id="rId33" Type="http://schemas.openxmlformats.org/officeDocument/2006/relationships/ctrlProp" Target="../ctrlProps/ctrlProp521.xml"/><Relationship Id="rId38" Type="http://schemas.openxmlformats.org/officeDocument/2006/relationships/ctrlProp" Target="../ctrlProps/ctrlProp526.xml"/><Relationship Id="rId46" Type="http://schemas.openxmlformats.org/officeDocument/2006/relationships/ctrlProp" Target="../ctrlProps/ctrlProp534.xml"/><Relationship Id="rId59" Type="http://schemas.openxmlformats.org/officeDocument/2006/relationships/ctrlProp" Target="../ctrlProps/ctrlProp547.xml"/><Relationship Id="rId67" Type="http://schemas.openxmlformats.org/officeDocument/2006/relationships/ctrlProp" Target="../ctrlProps/ctrlProp555.xml"/><Relationship Id="rId20" Type="http://schemas.openxmlformats.org/officeDocument/2006/relationships/ctrlProp" Target="../ctrlProps/ctrlProp508.xml"/><Relationship Id="rId41" Type="http://schemas.openxmlformats.org/officeDocument/2006/relationships/ctrlProp" Target="../ctrlProps/ctrlProp529.xml"/><Relationship Id="rId54" Type="http://schemas.openxmlformats.org/officeDocument/2006/relationships/ctrlProp" Target="../ctrlProps/ctrlProp542.xml"/><Relationship Id="rId62" Type="http://schemas.openxmlformats.org/officeDocument/2006/relationships/ctrlProp" Target="../ctrlProps/ctrlProp550.xml"/><Relationship Id="rId70" Type="http://schemas.openxmlformats.org/officeDocument/2006/relationships/ctrlProp" Target="../ctrlProps/ctrlProp558.xml"/><Relationship Id="rId75" Type="http://schemas.openxmlformats.org/officeDocument/2006/relationships/ctrlProp" Target="../ctrlProps/ctrlProp563.xml"/><Relationship Id="rId83" Type="http://schemas.openxmlformats.org/officeDocument/2006/relationships/ctrlProp" Target="../ctrlProps/ctrlProp571.xml"/><Relationship Id="rId88" Type="http://schemas.openxmlformats.org/officeDocument/2006/relationships/ctrlProp" Target="../ctrlProps/ctrlProp576.xml"/><Relationship Id="rId91" Type="http://schemas.openxmlformats.org/officeDocument/2006/relationships/ctrlProp" Target="../ctrlProps/ctrlProp579.xml"/><Relationship Id="rId96" Type="http://schemas.openxmlformats.org/officeDocument/2006/relationships/ctrlProp" Target="../ctrlProps/ctrlProp584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94.xml"/><Relationship Id="rId15" Type="http://schemas.openxmlformats.org/officeDocument/2006/relationships/ctrlProp" Target="../ctrlProps/ctrlProp503.xml"/><Relationship Id="rId23" Type="http://schemas.openxmlformats.org/officeDocument/2006/relationships/ctrlProp" Target="../ctrlProps/ctrlProp511.xml"/><Relationship Id="rId28" Type="http://schemas.openxmlformats.org/officeDocument/2006/relationships/ctrlProp" Target="../ctrlProps/ctrlProp516.xml"/><Relationship Id="rId36" Type="http://schemas.openxmlformats.org/officeDocument/2006/relationships/ctrlProp" Target="../ctrlProps/ctrlProp524.xml"/><Relationship Id="rId49" Type="http://schemas.openxmlformats.org/officeDocument/2006/relationships/ctrlProp" Target="../ctrlProps/ctrlProp537.xml"/><Relationship Id="rId57" Type="http://schemas.openxmlformats.org/officeDocument/2006/relationships/ctrlProp" Target="../ctrlProps/ctrlProp545.xml"/><Relationship Id="rId10" Type="http://schemas.openxmlformats.org/officeDocument/2006/relationships/ctrlProp" Target="../ctrlProps/ctrlProp498.xml"/><Relationship Id="rId31" Type="http://schemas.openxmlformats.org/officeDocument/2006/relationships/ctrlProp" Target="../ctrlProps/ctrlProp519.xml"/><Relationship Id="rId44" Type="http://schemas.openxmlformats.org/officeDocument/2006/relationships/ctrlProp" Target="../ctrlProps/ctrlProp532.xml"/><Relationship Id="rId52" Type="http://schemas.openxmlformats.org/officeDocument/2006/relationships/ctrlProp" Target="../ctrlProps/ctrlProp540.xml"/><Relationship Id="rId60" Type="http://schemas.openxmlformats.org/officeDocument/2006/relationships/ctrlProp" Target="../ctrlProps/ctrlProp548.xml"/><Relationship Id="rId65" Type="http://schemas.openxmlformats.org/officeDocument/2006/relationships/ctrlProp" Target="../ctrlProps/ctrlProp553.xml"/><Relationship Id="rId73" Type="http://schemas.openxmlformats.org/officeDocument/2006/relationships/ctrlProp" Target="../ctrlProps/ctrlProp561.xml"/><Relationship Id="rId78" Type="http://schemas.openxmlformats.org/officeDocument/2006/relationships/ctrlProp" Target="../ctrlProps/ctrlProp566.xml"/><Relationship Id="rId81" Type="http://schemas.openxmlformats.org/officeDocument/2006/relationships/ctrlProp" Target="../ctrlProps/ctrlProp569.xml"/><Relationship Id="rId86" Type="http://schemas.openxmlformats.org/officeDocument/2006/relationships/ctrlProp" Target="../ctrlProps/ctrlProp574.xml"/><Relationship Id="rId94" Type="http://schemas.openxmlformats.org/officeDocument/2006/relationships/ctrlProp" Target="../ctrlProps/ctrlProp582.xml"/><Relationship Id="rId4" Type="http://schemas.openxmlformats.org/officeDocument/2006/relationships/ctrlProp" Target="../ctrlProps/ctrlProp492.xml"/><Relationship Id="rId9" Type="http://schemas.openxmlformats.org/officeDocument/2006/relationships/ctrlProp" Target="../ctrlProps/ctrlProp497.xml"/><Relationship Id="rId13" Type="http://schemas.openxmlformats.org/officeDocument/2006/relationships/ctrlProp" Target="../ctrlProps/ctrlProp501.xml"/><Relationship Id="rId18" Type="http://schemas.openxmlformats.org/officeDocument/2006/relationships/ctrlProp" Target="../ctrlProps/ctrlProp506.xml"/><Relationship Id="rId39" Type="http://schemas.openxmlformats.org/officeDocument/2006/relationships/ctrlProp" Target="../ctrlProps/ctrlProp527.xml"/><Relationship Id="rId34" Type="http://schemas.openxmlformats.org/officeDocument/2006/relationships/ctrlProp" Target="../ctrlProps/ctrlProp522.xml"/><Relationship Id="rId50" Type="http://schemas.openxmlformats.org/officeDocument/2006/relationships/ctrlProp" Target="../ctrlProps/ctrlProp538.xml"/><Relationship Id="rId55" Type="http://schemas.openxmlformats.org/officeDocument/2006/relationships/ctrlProp" Target="../ctrlProps/ctrlProp543.xml"/><Relationship Id="rId76" Type="http://schemas.openxmlformats.org/officeDocument/2006/relationships/ctrlProp" Target="../ctrlProps/ctrlProp564.xml"/><Relationship Id="rId7" Type="http://schemas.openxmlformats.org/officeDocument/2006/relationships/ctrlProp" Target="../ctrlProps/ctrlProp495.xml"/><Relationship Id="rId71" Type="http://schemas.openxmlformats.org/officeDocument/2006/relationships/ctrlProp" Target="../ctrlProps/ctrlProp559.xml"/><Relationship Id="rId92" Type="http://schemas.openxmlformats.org/officeDocument/2006/relationships/ctrlProp" Target="../ctrlProps/ctrlProp580.xml"/><Relationship Id="rId2" Type="http://schemas.openxmlformats.org/officeDocument/2006/relationships/vmlDrawing" Target="../drawings/vmlDrawing10.vml"/><Relationship Id="rId29" Type="http://schemas.openxmlformats.org/officeDocument/2006/relationships/ctrlProp" Target="../ctrlProps/ctrlProp517.xml"/><Relationship Id="rId24" Type="http://schemas.openxmlformats.org/officeDocument/2006/relationships/ctrlProp" Target="../ctrlProps/ctrlProp512.xml"/><Relationship Id="rId40" Type="http://schemas.openxmlformats.org/officeDocument/2006/relationships/ctrlProp" Target="../ctrlProps/ctrlProp528.xml"/><Relationship Id="rId45" Type="http://schemas.openxmlformats.org/officeDocument/2006/relationships/ctrlProp" Target="../ctrlProps/ctrlProp533.xml"/><Relationship Id="rId66" Type="http://schemas.openxmlformats.org/officeDocument/2006/relationships/ctrlProp" Target="../ctrlProps/ctrlProp554.xml"/><Relationship Id="rId87" Type="http://schemas.openxmlformats.org/officeDocument/2006/relationships/ctrlProp" Target="../ctrlProps/ctrlProp575.xml"/><Relationship Id="rId61" Type="http://schemas.openxmlformats.org/officeDocument/2006/relationships/ctrlProp" Target="../ctrlProps/ctrlProp549.xml"/><Relationship Id="rId82" Type="http://schemas.openxmlformats.org/officeDocument/2006/relationships/ctrlProp" Target="../ctrlProps/ctrlProp570.xml"/><Relationship Id="rId19" Type="http://schemas.openxmlformats.org/officeDocument/2006/relationships/ctrlProp" Target="../ctrlProps/ctrlProp507.xml"/><Relationship Id="rId14" Type="http://schemas.openxmlformats.org/officeDocument/2006/relationships/ctrlProp" Target="../ctrlProps/ctrlProp502.xml"/><Relationship Id="rId30" Type="http://schemas.openxmlformats.org/officeDocument/2006/relationships/ctrlProp" Target="../ctrlProps/ctrlProp518.xml"/><Relationship Id="rId35" Type="http://schemas.openxmlformats.org/officeDocument/2006/relationships/ctrlProp" Target="../ctrlProps/ctrlProp523.xml"/><Relationship Id="rId56" Type="http://schemas.openxmlformats.org/officeDocument/2006/relationships/ctrlProp" Target="../ctrlProps/ctrlProp544.xml"/><Relationship Id="rId77" Type="http://schemas.openxmlformats.org/officeDocument/2006/relationships/ctrlProp" Target="../ctrlProps/ctrlProp565.xml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08.xml"/><Relationship Id="rId117" Type="http://schemas.openxmlformats.org/officeDocument/2006/relationships/ctrlProp" Target="../ctrlProps/ctrlProp699.xml"/><Relationship Id="rId21" Type="http://schemas.openxmlformats.org/officeDocument/2006/relationships/ctrlProp" Target="../ctrlProps/ctrlProp603.xml"/><Relationship Id="rId42" Type="http://schemas.openxmlformats.org/officeDocument/2006/relationships/ctrlProp" Target="../ctrlProps/ctrlProp624.xml"/><Relationship Id="rId47" Type="http://schemas.openxmlformats.org/officeDocument/2006/relationships/ctrlProp" Target="../ctrlProps/ctrlProp629.xml"/><Relationship Id="rId63" Type="http://schemas.openxmlformats.org/officeDocument/2006/relationships/ctrlProp" Target="../ctrlProps/ctrlProp645.xml"/><Relationship Id="rId68" Type="http://schemas.openxmlformats.org/officeDocument/2006/relationships/ctrlProp" Target="../ctrlProps/ctrlProp650.xml"/><Relationship Id="rId84" Type="http://schemas.openxmlformats.org/officeDocument/2006/relationships/ctrlProp" Target="../ctrlProps/ctrlProp666.xml"/><Relationship Id="rId89" Type="http://schemas.openxmlformats.org/officeDocument/2006/relationships/ctrlProp" Target="../ctrlProps/ctrlProp671.xml"/><Relationship Id="rId112" Type="http://schemas.openxmlformats.org/officeDocument/2006/relationships/ctrlProp" Target="../ctrlProps/ctrlProp694.xml"/><Relationship Id="rId16" Type="http://schemas.openxmlformats.org/officeDocument/2006/relationships/ctrlProp" Target="../ctrlProps/ctrlProp598.xml"/><Relationship Id="rId107" Type="http://schemas.openxmlformats.org/officeDocument/2006/relationships/ctrlProp" Target="../ctrlProps/ctrlProp689.xml"/><Relationship Id="rId11" Type="http://schemas.openxmlformats.org/officeDocument/2006/relationships/ctrlProp" Target="../ctrlProps/ctrlProp593.xml"/><Relationship Id="rId32" Type="http://schemas.openxmlformats.org/officeDocument/2006/relationships/ctrlProp" Target="../ctrlProps/ctrlProp614.xml"/><Relationship Id="rId37" Type="http://schemas.openxmlformats.org/officeDocument/2006/relationships/ctrlProp" Target="../ctrlProps/ctrlProp619.xml"/><Relationship Id="rId53" Type="http://schemas.openxmlformats.org/officeDocument/2006/relationships/ctrlProp" Target="../ctrlProps/ctrlProp635.xml"/><Relationship Id="rId58" Type="http://schemas.openxmlformats.org/officeDocument/2006/relationships/ctrlProp" Target="../ctrlProps/ctrlProp640.xml"/><Relationship Id="rId74" Type="http://schemas.openxmlformats.org/officeDocument/2006/relationships/ctrlProp" Target="../ctrlProps/ctrlProp656.xml"/><Relationship Id="rId79" Type="http://schemas.openxmlformats.org/officeDocument/2006/relationships/ctrlProp" Target="../ctrlProps/ctrlProp661.xml"/><Relationship Id="rId102" Type="http://schemas.openxmlformats.org/officeDocument/2006/relationships/ctrlProp" Target="../ctrlProps/ctrlProp684.xml"/><Relationship Id="rId123" Type="http://schemas.openxmlformats.org/officeDocument/2006/relationships/ctrlProp" Target="../ctrlProps/ctrlProp705.xml"/><Relationship Id="rId5" Type="http://schemas.openxmlformats.org/officeDocument/2006/relationships/ctrlProp" Target="../ctrlProps/ctrlProp587.xml"/><Relationship Id="rId90" Type="http://schemas.openxmlformats.org/officeDocument/2006/relationships/ctrlProp" Target="../ctrlProps/ctrlProp672.xml"/><Relationship Id="rId95" Type="http://schemas.openxmlformats.org/officeDocument/2006/relationships/ctrlProp" Target="../ctrlProps/ctrlProp677.xml"/><Relationship Id="rId22" Type="http://schemas.openxmlformats.org/officeDocument/2006/relationships/ctrlProp" Target="../ctrlProps/ctrlProp604.xml"/><Relationship Id="rId27" Type="http://schemas.openxmlformats.org/officeDocument/2006/relationships/ctrlProp" Target="../ctrlProps/ctrlProp609.xml"/><Relationship Id="rId43" Type="http://schemas.openxmlformats.org/officeDocument/2006/relationships/ctrlProp" Target="../ctrlProps/ctrlProp625.xml"/><Relationship Id="rId48" Type="http://schemas.openxmlformats.org/officeDocument/2006/relationships/ctrlProp" Target="../ctrlProps/ctrlProp630.xml"/><Relationship Id="rId64" Type="http://schemas.openxmlformats.org/officeDocument/2006/relationships/ctrlProp" Target="../ctrlProps/ctrlProp646.xml"/><Relationship Id="rId69" Type="http://schemas.openxmlformats.org/officeDocument/2006/relationships/ctrlProp" Target="../ctrlProps/ctrlProp651.xml"/><Relationship Id="rId113" Type="http://schemas.openxmlformats.org/officeDocument/2006/relationships/ctrlProp" Target="../ctrlProps/ctrlProp695.xml"/><Relationship Id="rId118" Type="http://schemas.openxmlformats.org/officeDocument/2006/relationships/ctrlProp" Target="../ctrlProps/ctrlProp700.xml"/><Relationship Id="rId80" Type="http://schemas.openxmlformats.org/officeDocument/2006/relationships/ctrlProp" Target="../ctrlProps/ctrlProp662.xml"/><Relationship Id="rId85" Type="http://schemas.openxmlformats.org/officeDocument/2006/relationships/ctrlProp" Target="../ctrlProps/ctrlProp667.xml"/><Relationship Id="rId12" Type="http://schemas.openxmlformats.org/officeDocument/2006/relationships/ctrlProp" Target="../ctrlProps/ctrlProp594.xml"/><Relationship Id="rId17" Type="http://schemas.openxmlformats.org/officeDocument/2006/relationships/ctrlProp" Target="../ctrlProps/ctrlProp599.xml"/><Relationship Id="rId33" Type="http://schemas.openxmlformats.org/officeDocument/2006/relationships/ctrlProp" Target="../ctrlProps/ctrlProp615.xml"/><Relationship Id="rId38" Type="http://schemas.openxmlformats.org/officeDocument/2006/relationships/ctrlProp" Target="../ctrlProps/ctrlProp620.xml"/><Relationship Id="rId59" Type="http://schemas.openxmlformats.org/officeDocument/2006/relationships/ctrlProp" Target="../ctrlProps/ctrlProp641.xml"/><Relationship Id="rId103" Type="http://schemas.openxmlformats.org/officeDocument/2006/relationships/ctrlProp" Target="../ctrlProps/ctrlProp685.xml"/><Relationship Id="rId108" Type="http://schemas.openxmlformats.org/officeDocument/2006/relationships/ctrlProp" Target="../ctrlProps/ctrlProp690.xml"/><Relationship Id="rId124" Type="http://schemas.openxmlformats.org/officeDocument/2006/relationships/ctrlProp" Target="../ctrlProps/ctrlProp706.xml"/><Relationship Id="rId54" Type="http://schemas.openxmlformats.org/officeDocument/2006/relationships/ctrlProp" Target="../ctrlProps/ctrlProp636.xml"/><Relationship Id="rId70" Type="http://schemas.openxmlformats.org/officeDocument/2006/relationships/ctrlProp" Target="../ctrlProps/ctrlProp652.xml"/><Relationship Id="rId75" Type="http://schemas.openxmlformats.org/officeDocument/2006/relationships/ctrlProp" Target="../ctrlProps/ctrlProp657.xml"/><Relationship Id="rId91" Type="http://schemas.openxmlformats.org/officeDocument/2006/relationships/ctrlProp" Target="../ctrlProps/ctrlProp673.xml"/><Relationship Id="rId96" Type="http://schemas.openxmlformats.org/officeDocument/2006/relationships/ctrlProp" Target="../ctrlProps/ctrlProp67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88.xml"/><Relationship Id="rId23" Type="http://schemas.openxmlformats.org/officeDocument/2006/relationships/ctrlProp" Target="../ctrlProps/ctrlProp605.xml"/><Relationship Id="rId28" Type="http://schemas.openxmlformats.org/officeDocument/2006/relationships/ctrlProp" Target="../ctrlProps/ctrlProp610.xml"/><Relationship Id="rId49" Type="http://schemas.openxmlformats.org/officeDocument/2006/relationships/ctrlProp" Target="../ctrlProps/ctrlProp631.xml"/><Relationship Id="rId114" Type="http://schemas.openxmlformats.org/officeDocument/2006/relationships/ctrlProp" Target="../ctrlProps/ctrlProp696.xml"/><Relationship Id="rId119" Type="http://schemas.openxmlformats.org/officeDocument/2006/relationships/ctrlProp" Target="../ctrlProps/ctrlProp701.xml"/><Relationship Id="rId44" Type="http://schemas.openxmlformats.org/officeDocument/2006/relationships/ctrlProp" Target="../ctrlProps/ctrlProp626.xml"/><Relationship Id="rId60" Type="http://schemas.openxmlformats.org/officeDocument/2006/relationships/ctrlProp" Target="../ctrlProps/ctrlProp642.xml"/><Relationship Id="rId65" Type="http://schemas.openxmlformats.org/officeDocument/2006/relationships/ctrlProp" Target="../ctrlProps/ctrlProp647.xml"/><Relationship Id="rId81" Type="http://schemas.openxmlformats.org/officeDocument/2006/relationships/ctrlProp" Target="../ctrlProps/ctrlProp663.xml"/><Relationship Id="rId86" Type="http://schemas.openxmlformats.org/officeDocument/2006/relationships/ctrlProp" Target="../ctrlProps/ctrlProp668.xml"/><Relationship Id="rId13" Type="http://schemas.openxmlformats.org/officeDocument/2006/relationships/ctrlProp" Target="../ctrlProps/ctrlProp595.xml"/><Relationship Id="rId18" Type="http://schemas.openxmlformats.org/officeDocument/2006/relationships/ctrlProp" Target="../ctrlProps/ctrlProp600.xml"/><Relationship Id="rId39" Type="http://schemas.openxmlformats.org/officeDocument/2006/relationships/ctrlProp" Target="../ctrlProps/ctrlProp621.xml"/><Relationship Id="rId109" Type="http://schemas.openxmlformats.org/officeDocument/2006/relationships/ctrlProp" Target="../ctrlProps/ctrlProp691.xml"/><Relationship Id="rId34" Type="http://schemas.openxmlformats.org/officeDocument/2006/relationships/ctrlProp" Target="../ctrlProps/ctrlProp616.xml"/><Relationship Id="rId50" Type="http://schemas.openxmlformats.org/officeDocument/2006/relationships/ctrlProp" Target="../ctrlProps/ctrlProp632.xml"/><Relationship Id="rId55" Type="http://schemas.openxmlformats.org/officeDocument/2006/relationships/ctrlProp" Target="../ctrlProps/ctrlProp637.xml"/><Relationship Id="rId76" Type="http://schemas.openxmlformats.org/officeDocument/2006/relationships/ctrlProp" Target="../ctrlProps/ctrlProp658.xml"/><Relationship Id="rId97" Type="http://schemas.openxmlformats.org/officeDocument/2006/relationships/ctrlProp" Target="../ctrlProps/ctrlProp679.xml"/><Relationship Id="rId104" Type="http://schemas.openxmlformats.org/officeDocument/2006/relationships/ctrlProp" Target="../ctrlProps/ctrlProp686.xml"/><Relationship Id="rId120" Type="http://schemas.openxmlformats.org/officeDocument/2006/relationships/ctrlProp" Target="../ctrlProps/ctrlProp702.xml"/><Relationship Id="rId125" Type="http://schemas.openxmlformats.org/officeDocument/2006/relationships/ctrlProp" Target="../ctrlProps/ctrlProp707.xml"/><Relationship Id="rId7" Type="http://schemas.openxmlformats.org/officeDocument/2006/relationships/ctrlProp" Target="../ctrlProps/ctrlProp589.xml"/><Relationship Id="rId71" Type="http://schemas.openxmlformats.org/officeDocument/2006/relationships/ctrlProp" Target="../ctrlProps/ctrlProp653.xml"/><Relationship Id="rId92" Type="http://schemas.openxmlformats.org/officeDocument/2006/relationships/ctrlProp" Target="../ctrlProps/ctrlProp674.xml"/><Relationship Id="rId2" Type="http://schemas.openxmlformats.org/officeDocument/2006/relationships/vmlDrawing" Target="../drawings/vmlDrawing11.vml"/><Relationship Id="rId29" Type="http://schemas.openxmlformats.org/officeDocument/2006/relationships/ctrlProp" Target="../ctrlProps/ctrlProp611.xml"/><Relationship Id="rId24" Type="http://schemas.openxmlformats.org/officeDocument/2006/relationships/ctrlProp" Target="../ctrlProps/ctrlProp606.xml"/><Relationship Id="rId40" Type="http://schemas.openxmlformats.org/officeDocument/2006/relationships/ctrlProp" Target="../ctrlProps/ctrlProp622.xml"/><Relationship Id="rId45" Type="http://schemas.openxmlformats.org/officeDocument/2006/relationships/ctrlProp" Target="../ctrlProps/ctrlProp627.xml"/><Relationship Id="rId66" Type="http://schemas.openxmlformats.org/officeDocument/2006/relationships/ctrlProp" Target="../ctrlProps/ctrlProp648.xml"/><Relationship Id="rId87" Type="http://schemas.openxmlformats.org/officeDocument/2006/relationships/ctrlProp" Target="../ctrlProps/ctrlProp669.xml"/><Relationship Id="rId110" Type="http://schemas.openxmlformats.org/officeDocument/2006/relationships/ctrlProp" Target="../ctrlProps/ctrlProp692.xml"/><Relationship Id="rId115" Type="http://schemas.openxmlformats.org/officeDocument/2006/relationships/ctrlProp" Target="../ctrlProps/ctrlProp697.xml"/><Relationship Id="rId61" Type="http://schemas.openxmlformats.org/officeDocument/2006/relationships/ctrlProp" Target="../ctrlProps/ctrlProp643.xml"/><Relationship Id="rId82" Type="http://schemas.openxmlformats.org/officeDocument/2006/relationships/ctrlProp" Target="../ctrlProps/ctrlProp664.xml"/><Relationship Id="rId19" Type="http://schemas.openxmlformats.org/officeDocument/2006/relationships/ctrlProp" Target="../ctrlProps/ctrlProp601.xml"/><Relationship Id="rId14" Type="http://schemas.openxmlformats.org/officeDocument/2006/relationships/ctrlProp" Target="../ctrlProps/ctrlProp596.xml"/><Relationship Id="rId30" Type="http://schemas.openxmlformats.org/officeDocument/2006/relationships/ctrlProp" Target="../ctrlProps/ctrlProp612.xml"/><Relationship Id="rId35" Type="http://schemas.openxmlformats.org/officeDocument/2006/relationships/ctrlProp" Target="../ctrlProps/ctrlProp617.xml"/><Relationship Id="rId56" Type="http://schemas.openxmlformats.org/officeDocument/2006/relationships/ctrlProp" Target="../ctrlProps/ctrlProp638.xml"/><Relationship Id="rId77" Type="http://schemas.openxmlformats.org/officeDocument/2006/relationships/ctrlProp" Target="../ctrlProps/ctrlProp659.xml"/><Relationship Id="rId100" Type="http://schemas.openxmlformats.org/officeDocument/2006/relationships/ctrlProp" Target="../ctrlProps/ctrlProp682.xml"/><Relationship Id="rId105" Type="http://schemas.openxmlformats.org/officeDocument/2006/relationships/ctrlProp" Target="../ctrlProps/ctrlProp687.xml"/><Relationship Id="rId126" Type="http://schemas.openxmlformats.org/officeDocument/2006/relationships/ctrlProp" Target="../ctrlProps/ctrlProp708.xml"/><Relationship Id="rId8" Type="http://schemas.openxmlformats.org/officeDocument/2006/relationships/ctrlProp" Target="../ctrlProps/ctrlProp590.xml"/><Relationship Id="rId51" Type="http://schemas.openxmlformats.org/officeDocument/2006/relationships/ctrlProp" Target="../ctrlProps/ctrlProp633.xml"/><Relationship Id="rId72" Type="http://schemas.openxmlformats.org/officeDocument/2006/relationships/ctrlProp" Target="../ctrlProps/ctrlProp654.xml"/><Relationship Id="rId93" Type="http://schemas.openxmlformats.org/officeDocument/2006/relationships/ctrlProp" Target="../ctrlProps/ctrlProp675.xml"/><Relationship Id="rId98" Type="http://schemas.openxmlformats.org/officeDocument/2006/relationships/ctrlProp" Target="../ctrlProps/ctrlProp680.xml"/><Relationship Id="rId121" Type="http://schemas.openxmlformats.org/officeDocument/2006/relationships/ctrlProp" Target="../ctrlProps/ctrlProp703.xml"/><Relationship Id="rId3" Type="http://schemas.openxmlformats.org/officeDocument/2006/relationships/ctrlProp" Target="../ctrlProps/ctrlProp585.xml"/><Relationship Id="rId25" Type="http://schemas.openxmlformats.org/officeDocument/2006/relationships/ctrlProp" Target="../ctrlProps/ctrlProp607.xml"/><Relationship Id="rId46" Type="http://schemas.openxmlformats.org/officeDocument/2006/relationships/ctrlProp" Target="../ctrlProps/ctrlProp628.xml"/><Relationship Id="rId67" Type="http://schemas.openxmlformats.org/officeDocument/2006/relationships/ctrlProp" Target="../ctrlProps/ctrlProp649.xml"/><Relationship Id="rId116" Type="http://schemas.openxmlformats.org/officeDocument/2006/relationships/ctrlProp" Target="../ctrlProps/ctrlProp698.xml"/><Relationship Id="rId20" Type="http://schemas.openxmlformats.org/officeDocument/2006/relationships/ctrlProp" Target="../ctrlProps/ctrlProp602.xml"/><Relationship Id="rId41" Type="http://schemas.openxmlformats.org/officeDocument/2006/relationships/ctrlProp" Target="../ctrlProps/ctrlProp623.xml"/><Relationship Id="rId62" Type="http://schemas.openxmlformats.org/officeDocument/2006/relationships/ctrlProp" Target="../ctrlProps/ctrlProp644.xml"/><Relationship Id="rId83" Type="http://schemas.openxmlformats.org/officeDocument/2006/relationships/ctrlProp" Target="../ctrlProps/ctrlProp665.xml"/><Relationship Id="rId88" Type="http://schemas.openxmlformats.org/officeDocument/2006/relationships/ctrlProp" Target="../ctrlProps/ctrlProp670.xml"/><Relationship Id="rId111" Type="http://schemas.openxmlformats.org/officeDocument/2006/relationships/ctrlProp" Target="../ctrlProps/ctrlProp693.xml"/><Relationship Id="rId15" Type="http://schemas.openxmlformats.org/officeDocument/2006/relationships/ctrlProp" Target="../ctrlProps/ctrlProp597.xml"/><Relationship Id="rId36" Type="http://schemas.openxmlformats.org/officeDocument/2006/relationships/ctrlProp" Target="../ctrlProps/ctrlProp618.xml"/><Relationship Id="rId57" Type="http://schemas.openxmlformats.org/officeDocument/2006/relationships/ctrlProp" Target="../ctrlProps/ctrlProp639.xml"/><Relationship Id="rId106" Type="http://schemas.openxmlformats.org/officeDocument/2006/relationships/ctrlProp" Target="../ctrlProps/ctrlProp688.xml"/><Relationship Id="rId127" Type="http://schemas.openxmlformats.org/officeDocument/2006/relationships/ctrlProp" Target="../ctrlProps/ctrlProp709.xml"/><Relationship Id="rId10" Type="http://schemas.openxmlformats.org/officeDocument/2006/relationships/ctrlProp" Target="../ctrlProps/ctrlProp592.xml"/><Relationship Id="rId31" Type="http://schemas.openxmlformats.org/officeDocument/2006/relationships/ctrlProp" Target="../ctrlProps/ctrlProp613.xml"/><Relationship Id="rId52" Type="http://schemas.openxmlformats.org/officeDocument/2006/relationships/ctrlProp" Target="../ctrlProps/ctrlProp634.xml"/><Relationship Id="rId73" Type="http://schemas.openxmlformats.org/officeDocument/2006/relationships/ctrlProp" Target="../ctrlProps/ctrlProp655.xml"/><Relationship Id="rId78" Type="http://schemas.openxmlformats.org/officeDocument/2006/relationships/ctrlProp" Target="../ctrlProps/ctrlProp660.xml"/><Relationship Id="rId94" Type="http://schemas.openxmlformats.org/officeDocument/2006/relationships/ctrlProp" Target="../ctrlProps/ctrlProp676.xml"/><Relationship Id="rId99" Type="http://schemas.openxmlformats.org/officeDocument/2006/relationships/ctrlProp" Target="../ctrlProps/ctrlProp681.xml"/><Relationship Id="rId101" Type="http://schemas.openxmlformats.org/officeDocument/2006/relationships/ctrlProp" Target="../ctrlProps/ctrlProp683.xml"/><Relationship Id="rId122" Type="http://schemas.openxmlformats.org/officeDocument/2006/relationships/ctrlProp" Target="../ctrlProps/ctrlProp704.xml"/><Relationship Id="rId4" Type="http://schemas.openxmlformats.org/officeDocument/2006/relationships/ctrlProp" Target="../ctrlProps/ctrlProp586.xml"/><Relationship Id="rId9" Type="http://schemas.openxmlformats.org/officeDocument/2006/relationships/ctrlProp" Target="../ctrlProps/ctrlProp591.xm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33.xml"/><Relationship Id="rId21" Type="http://schemas.openxmlformats.org/officeDocument/2006/relationships/ctrlProp" Target="../ctrlProps/ctrlProp728.xml"/><Relationship Id="rId34" Type="http://schemas.openxmlformats.org/officeDocument/2006/relationships/ctrlProp" Target="../ctrlProps/ctrlProp741.xml"/><Relationship Id="rId42" Type="http://schemas.openxmlformats.org/officeDocument/2006/relationships/ctrlProp" Target="../ctrlProps/ctrlProp749.xml"/><Relationship Id="rId47" Type="http://schemas.openxmlformats.org/officeDocument/2006/relationships/ctrlProp" Target="../ctrlProps/ctrlProp754.xml"/><Relationship Id="rId50" Type="http://schemas.openxmlformats.org/officeDocument/2006/relationships/ctrlProp" Target="../ctrlProps/ctrlProp757.xml"/><Relationship Id="rId55" Type="http://schemas.openxmlformats.org/officeDocument/2006/relationships/ctrlProp" Target="../ctrlProps/ctrlProp762.xml"/><Relationship Id="rId63" Type="http://schemas.openxmlformats.org/officeDocument/2006/relationships/ctrlProp" Target="../ctrlProps/ctrlProp770.xml"/><Relationship Id="rId7" Type="http://schemas.openxmlformats.org/officeDocument/2006/relationships/ctrlProp" Target="../ctrlProps/ctrlProp714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723.xml"/><Relationship Id="rId29" Type="http://schemas.openxmlformats.org/officeDocument/2006/relationships/ctrlProp" Target="../ctrlProps/ctrlProp736.xml"/><Relationship Id="rId11" Type="http://schemas.openxmlformats.org/officeDocument/2006/relationships/ctrlProp" Target="../ctrlProps/ctrlProp718.xml"/><Relationship Id="rId24" Type="http://schemas.openxmlformats.org/officeDocument/2006/relationships/ctrlProp" Target="../ctrlProps/ctrlProp731.xml"/><Relationship Id="rId32" Type="http://schemas.openxmlformats.org/officeDocument/2006/relationships/ctrlProp" Target="../ctrlProps/ctrlProp739.xml"/><Relationship Id="rId37" Type="http://schemas.openxmlformats.org/officeDocument/2006/relationships/ctrlProp" Target="../ctrlProps/ctrlProp744.xml"/><Relationship Id="rId40" Type="http://schemas.openxmlformats.org/officeDocument/2006/relationships/ctrlProp" Target="../ctrlProps/ctrlProp747.xml"/><Relationship Id="rId45" Type="http://schemas.openxmlformats.org/officeDocument/2006/relationships/ctrlProp" Target="../ctrlProps/ctrlProp752.xml"/><Relationship Id="rId53" Type="http://schemas.openxmlformats.org/officeDocument/2006/relationships/ctrlProp" Target="../ctrlProps/ctrlProp760.xml"/><Relationship Id="rId58" Type="http://schemas.openxmlformats.org/officeDocument/2006/relationships/ctrlProp" Target="../ctrlProps/ctrlProp765.xml"/><Relationship Id="rId5" Type="http://schemas.openxmlformats.org/officeDocument/2006/relationships/ctrlProp" Target="../ctrlProps/ctrlProp712.xml"/><Relationship Id="rId61" Type="http://schemas.openxmlformats.org/officeDocument/2006/relationships/ctrlProp" Target="../ctrlProps/ctrlProp768.xml"/><Relationship Id="rId19" Type="http://schemas.openxmlformats.org/officeDocument/2006/relationships/ctrlProp" Target="../ctrlProps/ctrlProp726.xml"/><Relationship Id="rId14" Type="http://schemas.openxmlformats.org/officeDocument/2006/relationships/ctrlProp" Target="../ctrlProps/ctrlProp721.xml"/><Relationship Id="rId22" Type="http://schemas.openxmlformats.org/officeDocument/2006/relationships/ctrlProp" Target="../ctrlProps/ctrlProp729.xml"/><Relationship Id="rId27" Type="http://schemas.openxmlformats.org/officeDocument/2006/relationships/ctrlProp" Target="../ctrlProps/ctrlProp734.xml"/><Relationship Id="rId30" Type="http://schemas.openxmlformats.org/officeDocument/2006/relationships/ctrlProp" Target="../ctrlProps/ctrlProp737.xml"/><Relationship Id="rId35" Type="http://schemas.openxmlformats.org/officeDocument/2006/relationships/ctrlProp" Target="../ctrlProps/ctrlProp742.xml"/><Relationship Id="rId43" Type="http://schemas.openxmlformats.org/officeDocument/2006/relationships/ctrlProp" Target="../ctrlProps/ctrlProp750.xml"/><Relationship Id="rId48" Type="http://schemas.openxmlformats.org/officeDocument/2006/relationships/ctrlProp" Target="../ctrlProps/ctrlProp755.xml"/><Relationship Id="rId56" Type="http://schemas.openxmlformats.org/officeDocument/2006/relationships/ctrlProp" Target="../ctrlProps/ctrlProp763.xml"/><Relationship Id="rId64" Type="http://schemas.openxmlformats.org/officeDocument/2006/relationships/ctrlProp" Target="../ctrlProps/ctrlProp771.xml"/><Relationship Id="rId8" Type="http://schemas.openxmlformats.org/officeDocument/2006/relationships/ctrlProp" Target="../ctrlProps/ctrlProp715.xml"/><Relationship Id="rId51" Type="http://schemas.openxmlformats.org/officeDocument/2006/relationships/ctrlProp" Target="../ctrlProps/ctrlProp758.xml"/><Relationship Id="rId3" Type="http://schemas.openxmlformats.org/officeDocument/2006/relationships/ctrlProp" Target="../ctrlProps/ctrlProp710.xml"/><Relationship Id="rId12" Type="http://schemas.openxmlformats.org/officeDocument/2006/relationships/ctrlProp" Target="../ctrlProps/ctrlProp719.xml"/><Relationship Id="rId17" Type="http://schemas.openxmlformats.org/officeDocument/2006/relationships/ctrlProp" Target="../ctrlProps/ctrlProp724.xml"/><Relationship Id="rId25" Type="http://schemas.openxmlformats.org/officeDocument/2006/relationships/ctrlProp" Target="../ctrlProps/ctrlProp732.xml"/><Relationship Id="rId33" Type="http://schemas.openxmlformats.org/officeDocument/2006/relationships/ctrlProp" Target="../ctrlProps/ctrlProp740.xml"/><Relationship Id="rId38" Type="http://schemas.openxmlformats.org/officeDocument/2006/relationships/ctrlProp" Target="../ctrlProps/ctrlProp745.xml"/><Relationship Id="rId46" Type="http://schemas.openxmlformats.org/officeDocument/2006/relationships/ctrlProp" Target="../ctrlProps/ctrlProp753.xml"/><Relationship Id="rId59" Type="http://schemas.openxmlformats.org/officeDocument/2006/relationships/ctrlProp" Target="../ctrlProps/ctrlProp766.xml"/><Relationship Id="rId20" Type="http://schemas.openxmlformats.org/officeDocument/2006/relationships/ctrlProp" Target="../ctrlProps/ctrlProp727.xml"/><Relationship Id="rId41" Type="http://schemas.openxmlformats.org/officeDocument/2006/relationships/ctrlProp" Target="../ctrlProps/ctrlProp748.xml"/><Relationship Id="rId54" Type="http://schemas.openxmlformats.org/officeDocument/2006/relationships/ctrlProp" Target="../ctrlProps/ctrlProp761.xml"/><Relationship Id="rId62" Type="http://schemas.openxmlformats.org/officeDocument/2006/relationships/ctrlProp" Target="../ctrlProps/ctrlProp769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713.xml"/><Relationship Id="rId15" Type="http://schemas.openxmlformats.org/officeDocument/2006/relationships/ctrlProp" Target="../ctrlProps/ctrlProp722.xml"/><Relationship Id="rId23" Type="http://schemas.openxmlformats.org/officeDocument/2006/relationships/ctrlProp" Target="../ctrlProps/ctrlProp730.xml"/><Relationship Id="rId28" Type="http://schemas.openxmlformats.org/officeDocument/2006/relationships/ctrlProp" Target="../ctrlProps/ctrlProp735.xml"/><Relationship Id="rId36" Type="http://schemas.openxmlformats.org/officeDocument/2006/relationships/ctrlProp" Target="../ctrlProps/ctrlProp743.xml"/><Relationship Id="rId49" Type="http://schemas.openxmlformats.org/officeDocument/2006/relationships/ctrlProp" Target="../ctrlProps/ctrlProp756.xml"/><Relationship Id="rId57" Type="http://schemas.openxmlformats.org/officeDocument/2006/relationships/ctrlProp" Target="../ctrlProps/ctrlProp764.xml"/><Relationship Id="rId10" Type="http://schemas.openxmlformats.org/officeDocument/2006/relationships/ctrlProp" Target="../ctrlProps/ctrlProp717.xml"/><Relationship Id="rId31" Type="http://schemas.openxmlformats.org/officeDocument/2006/relationships/ctrlProp" Target="../ctrlProps/ctrlProp738.xml"/><Relationship Id="rId44" Type="http://schemas.openxmlformats.org/officeDocument/2006/relationships/ctrlProp" Target="../ctrlProps/ctrlProp751.xml"/><Relationship Id="rId52" Type="http://schemas.openxmlformats.org/officeDocument/2006/relationships/ctrlProp" Target="../ctrlProps/ctrlProp759.xml"/><Relationship Id="rId60" Type="http://schemas.openxmlformats.org/officeDocument/2006/relationships/ctrlProp" Target="../ctrlProps/ctrlProp767.xml"/><Relationship Id="rId65" Type="http://schemas.openxmlformats.org/officeDocument/2006/relationships/ctrlProp" Target="../ctrlProps/ctrlProp772.xml"/><Relationship Id="rId4" Type="http://schemas.openxmlformats.org/officeDocument/2006/relationships/ctrlProp" Target="../ctrlProps/ctrlProp711.xml"/><Relationship Id="rId9" Type="http://schemas.openxmlformats.org/officeDocument/2006/relationships/ctrlProp" Target="../ctrlProps/ctrlProp716.xml"/><Relationship Id="rId13" Type="http://schemas.openxmlformats.org/officeDocument/2006/relationships/ctrlProp" Target="../ctrlProps/ctrlProp720.xml"/><Relationship Id="rId18" Type="http://schemas.openxmlformats.org/officeDocument/2006/relationships/ctrlProp" Target="../ctrlProps/ctrlProp725.xml"/><Relationship Id="rId39" Type="http://schemas.openxmlformats.org/officeDocument/2006/relationships/ctrlProp" Target="../ctrlProps/ctrlProp746.xm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96.xml"/><Relationship Id="rId21" Type="http://schemas.openxmlformats.org/officeDocument/2006/relationships/ctrlProp" Target="../ctrlProps/ctrlProp791.xml"/><Relationship Id="rId42" Type="http://schemas.openxmlformats.org/officeDocument/2006/relationships/ctrlProp" Target="../ctrlProps/ctrlProp812.xml"/><Relationship Id="rId47" Type="http://schemas.openxmlformats.org/officeDocument/2006/relationships/ctrlProp" Target="../ctrlProps/ctrlProp817.xml"/><Relationship Id="rId63" Type="http://schemas.openxmlformats.org/officeDocument/2006/relationships/ctrlProp" Target="../ctrlProps/ctrlProp833.xml"/><Relationship Id="rId68" Type="http://schemas.openxmlformats.org/officeDocument/2006/relationships/ctrlProp" Target="../ctrlProps/ctrlProp838.xml"/><Relationship Id="rId84" Type="http://schemas.openxmlformats.org/officeDocument/2006/relationships/ctrlProp" Target="../ctrlProps/ctrlProp854.xml"/><Relationship Id="rId89" Type="http://schemas.openxmlformats.org/officeDocument/2006/relationships/ctrlProp" Target="../ctrlProps/ctrlProp859.xml"/><Relationship Id="rId16" Type="http://schemas.openxmlformats.org/officeDocument/2006/relationships/ctrlProp" Target="../ctrlProps/ctrlProp786.xml"/><Relationship Id="rId11" Type="http://schemas.openxmlformats.org/officeDocument/2006/relationships/ctrlProp" Target="../ctrlProps/ctrlProp781.xml"/><Relationship Id="rId32" Type="http://schemas.openxmlformats.org/officeDocument/2006/relationships/ctrlProp" Target="../ctrlProps/ctrlProp802.xml"/><Relationship Id="rId37" Type="http://schemas.openxmlformats.org/officeDocument/2006/relationships/ctrlProp" Target="../ctrlProps/ctrlProp807.xml"/><Relationship Id="rId53" Type="http://schemas.openxmlformats.org/officeDocument/2006/relationships/ctrlProp" Target="../ctrlProps/ctrlProp823.xml"/><Relationship Id="rId58" Type="http://schemas.openxmlformats.org/officeDocument/2006/relationships/ctrlProp" Target="../ctrlProps/ctrlProp828.xml"/><Relationship Id="rId74" Type="http://schemas.openxmlformats.org/officeDocument/2006/relationships/ctrlProp" Target="../ctrlProps/ctrlProp844.xml"/><Relationship Id="rId79" Type="http://schemas.openxmlformats.org/officeDocument/2006/relationships/ctrlProp" Target="../ctrlProps/ctrlProp849.xml"/><Relationship Id="rId5" Type="http://schemas.openxmlformats.org/officeDocument/2006/relationships/ctrlProp" Target="../ctrlProps/ctrlProp775.xml"/><Relationship Id="rId90" Type="http://schemas.openxmlformats.org/officeDocument/2006/relationships/ctrlProp" Target="../ctrlProps/ctrlProp860.xml"/><Relationship Id="rId95" Type="http://schemas.openxmlformats.org/officeDocument/2006/relationships/ctrlProp" Target="../ctrlProps/ctrlProp865.xml"/><Relationship Id="rId22" Type="http://schemas.openxmlformats.org/officeDocument/2006/relationships/ctrlProp" Target="../ctrlProps/ctrlProp792.xml"/><Relationship Id="rId27" Type="http://schemas.openxmlformats.org/officeDocument/2006/relationships/ctrlProp" Target="../ctrlProps/ctrlProp797.xml"/><Relationship Id="rId43" Type="http://schemas.openxmlformats.org/officeDocument/2006/relationships/ctrlProp" Target="../ctrlProps/ctrlProp813.xml"/><Relationship Id="rId48" Type="http://schemas.openxmlformats.org/officeDocument/2006/relationships/ctrlProp" Target="../ctrlProps/ctrlProp818.xml"/><Relationship Id="rId64" Type="http://schemas.openxmlformats.org/officeDocument/2006/relationships/ctrlProp" Target="../ctrlProps/ctrlProp834.xml"/><Relationship Id="rId69" Type="http://schemas.openxmlformats.org/officeDocument/2006/relationships/ctrlProp" Target="../ctrlProps/ctrlProp839.xml"/><Relationship Id="rId8" Type="http://schemas.openxmlformats.org/officeDocument/2006/relationships/ctrlProp" Target="../ctrlProps/ctrlProp778.xml"/><Relationship Id="rId51" Type="http://schemas.openxmlformats.org/officeDocument/2006/relationships/ctrlProp" Target="../ctrlProps/ctrlProp821.xml"/><Relationship Id="rId72" Type="http://schemas.openxmlformats.org/officeDocument/2006/relationships/ctrlProp" Target="../ctrlProps/ctrlProp842.xml"/><Relationship Id="rId80" Type="http://schemas.openxmlformats.org/officeDocument/2006/relationships/ctrlProp" Target="../ctrlProps/ctrlProp850.xml"/><Relationship Id="rId85" Type="http://schemas.openxmlformats.org/officeDocument/2006/relationships/ctrlProp" Target="../ctrlProps/ctrlProp855.xml"/><Relationship Id="rId93" Type="http://schemas.openxmlformats.org/officeDocument/2006/relationships/ctrlProp" Target="../ctrlProps/ctrlProp863.xml"/><Relationship Id="rId3" Type="http://schemas.openxmlformats.org/officeDocument/2006/relationships/ctrlProp" Target="../ctrlProps/ctrlProp773.xml"/><Relationship Id="rId12" Type="http://schemas.openxmlformats.org/officeDocument/2006/relationships/ctrlProp" Target="../ctrlProps/ctrlProp782.xml"/><Relationship Id="rId17" Type="http://schemas.openxmlformats.org/officeDocument/2006/relationships/ctrlProp" Target="../ctrlProps/ctrlProp787.xml"/><Relationship Id="rId25" Type="http://schemas.openxmlformats.org/officeDocument/2006/relationships/ctrlProp" Target="../ctrlProps/ctrlProp795.xml"/><Relationship Id="rId33" Type="http://schemas.openxmlformats.org/officeDocument/2006/relationships/ctrlProp" Target="../ctrlProps/ctrlProp803.xml"/><Relationship Id="rId38" Type="http://schemas.openxmlformats.org/officeDocument/2006/relationships/ctrlProp" Target="../ctrlProps/ctrlProp808.xml"/><Relationship Id="rId46" Type="http://schemas.openxmlformats.org/officeDocument/2006/relationships/ctrlProp" Target="../ctrlProps/ctrlProp816.xml"/><Relationship Id="rId59" Type="http://schemas.openxmlformats.org/officeDocument/2006/relationships/ctrlProp" Target="../ctrlProps/ctrlProp829.xml"/><Relationship Id="rId67" Type="http://schemas.openxmlformats.org/officeDocument/2006/relationships/ctrlProp" Target="../ctrlProps/ctrlProp837.xml"/><Relationship Id="rId20" Type="http://schemas.openxmlformats.org/officeDocument/2006/relationships/ctrlProp" Target="../ctrlProps/ctrlProp790.xml"/><Relationship Id="rId41" Type="http://schemas.openxmlformats.org/officeDocument/2006/relationships/ctrlProp" Target="../ctrlProps/ctrlProp811.xml"/><Relationship Id="rId54" Type="http://schemas.openxmlformats.org/officeDocument/2006/relationships/ctrlProp" Target="../ctrlProps/ctrlProp824.xml"/><Relationship Id="rId62" Type="http://schemas.openxmlformats.org/officeDocument/2006/relationships/ctrlProp" Target="../ctrlProps/ctrlProp832.xml"/><Relationship Id="rId70" Type="http://schemas.openxmlformats.org/officeDocument/2006/relationships/ctrlProp" Target="../ctrlProps/ctrlProp840.xml"/><Relationship Id="rId75" Type="http://schemas.openxmlformats.org/officeDocument/2006/relationships/ctrlProp" Target="../ctrlProps/ctrlProp845.xml"/><Relationship Id="rId83" Type="http://schemas.openxmlformats.org/officeDocument/2006/relationships/ctrlProp" Target="../ctrlProps/ctrlProp853.xml"/><Relationship Id="rId88" Type="http://schemas.openxmlformats.org/officeDocument/2006/relationships/ctrlProp" Target="../ctrlProps/ctrlProp858.xml"/><Relationship Id="rId91" Type="http://schemas.openxmlformats.org/officeDocument/2006/relationships/ctrlProp" Target="../ctrlProps/ctrlProp861.xml"/><Relationship Id="rId96" Type="http://schemas.openxmlformats.org/officeDocument/2006/relationships/ctrlProp" Target="../ctrlProps/ctrlProp866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776.xml"/><Relationship Id="rId15" Type="http://schemas.openxmlformats.org/officeDocument/2006/relationships/ctrlProp" Target="../ctrlProps/ctrlProp785.xml"/><Relationship Id="rId23" Type="http://schemas.openxmlformats.org/officeDocument/2006/relationships/ctrlProp" Target="../ctrlProps/ctrlProp793.xml"/><Relationship Id="rId28" Type="http://schemas.openxmlformats.org/officeDocument/2006/relationships/ctrlProp" Target="../ctrlProps/ctrlProp798.xml"/><Relationship Id="rId36" Type="http://schemas.openxmlformats.org/officeDocument/2006/relationships/ctrlProp" Target="../ctrlProps/ctrlProp806.xml"/><Relationship Id="rId49" Type="http://schemas.openxmlformats.org/officeDocument/2006/relationships/ctrlProp" Target="../ctrlProps/ctrlProp819.xml"/><Relationship Id="rId57" Type="http://schemas.openxmlformats.org/officeDocument/2006/relationships/ctrlProp" Target="../ctrlProps/ctrlProp827.xml"/><Relationship Id="rId10" Type="http://schemas.openxmlformats.org/officeDocument/2006/relationships/ctrlProp" Target="../ctrlProps/ctrlProp780.xml"/><Relationship Id="rId31" Type="http://schemas.openxmlformats.org/officeDocument/2006/relationships/ctrlProp" Target="../ctrlProps/ctrlProp801.xml"/><Relationship Id="rId44" Type="http://schemas.openxmlformats.org/officeDocument/2006/relationships/ctrlProp" Target="../ctrlProps/ctrlProp814.xml"/><Relationship Id="rId52" Type="http://schemas.openxmlformats.org/officeDocument/2006/relationships/ctrlProp" Target="../ctrlProps/ctrlProp822.xml"/><Relationship Id="rId60" Type="http://schemas.openxmlformats.org/officeDocument/2006/relationships/ctrlProp" Target="../ctrlProps/ctrlProp830.xml"/><Relationship Id="rId65" Type="http://schemas.openxmlformats.org/officeDocument/2006/relationships/ctrlProp" Target="../ctrlProps/ctrlProp835.xml"/><Relationship Id="rId73" Type="http://schemas.openxmlformats.org/officeDocument/2006/relationships/ctrlProp" Target="../ctrlProps/ctrlProp843.xml"/><Relationship Id="rId78" Type="http://schemas.openxmlformats.org/officeDocument/2006/relationships/ctrlProp" Target="../ctrlProps/ctrlProp848.xml"/><Relationship Id="rId81" Type="http://schemas.openxmlformats.org/officeDocument/2006/relationships/ctrlProp" Target="../ctrlProps/ctrlProp851.xml"/><Relationship Id="rId86" Type="http://schemas.openxmlformats.org/officeDocument/2006/relationships/ctrlProp" Target="../ctrlProps/ctrlProp856.xml"/><Relationship Id="rId94" Type="http://schemas.openxmlformats.org/officeDocument/2006/relationships/ctrlProp" Target="../ctrlProps/ctrlProp864.xml"/><Relationship Id="rId4" Type="http://schemas.openxmlformats.org/officeDocument/2006/relationships/ctrlProp" Target="../ctrlProps/ctrlProp774.xml"/><Relationship Id="rId9" Type="http://schemas.openxmlformats.org/officeDocument/2006/relationships/ctrlProp" Target="../ctrlProps/ctrlProp779.xml"/><Relationship Id="rId13" Type="http://schemas.openxmlformats.org/officeDocument/2006/relationships/ctrlProp" Target="../ctrlProps/ctrlProp783.xml"/><Relationship Id="rId18" Type="http://schemas.openxmlformats.org/officeDocument/2006/relationships/ctrlProp" Target="../ctrlProps/ctrlProp788.xml"/><Relationship Id="rId39" Type="http://schemas.openxmlformats.org/officeDocument/2006/relationships/ctrlProp" Target="../ctrlProps/ctrlProp809.xml"/><Relationship Id="rId34" Type="http://schemas.openxmlformats.org/officeDocument/2006/relationships/ctrlProp" Target="../ctrlProps/ctrlProp804.xml"/><Relationship Id="rId50" Type="http://schemas.openxmlformats.org/officeDocument/2006/relationships/ctrlProp" Target="../ctrlProps/ctrlProp820.xml"/><Relationship Id="rId55" Type="http://schemas.openxmlformats.org/officeDocument/2006/relationships/ctrlProp" Target="../ctrlProps/ctrlProp825.xml"/><Relationship Id="rId76" Type="http://schemas.openxmlformats.org/officeDocument/2006/relationships/ctrlProp" Target="../ctrlProps/ctrlProp846.xml"/><Relationship Id="rId7" Type="http://schemas.openxmlformats.org/officeDocument/2006/relationships/ctrlProp" Target="../ctrlProps/ctrlProp777.xml"/><Relationship Id="rId71" Type="http://schemas.openxmlformats.org/officeDocument/2006/relationships/ctrlProp" Target="../ctrlProps/ctrlProp841.xml"/><Relationship Id="rId92" Type="http://schemas.openxmlformats.org/officeDocument/2006/relationships/ctrlProp" Target="../ctrlProps/ctrlProp862.xml"/><Relationship Id="rId2" Type="http://schemas.openxmlformats.org/officeDocument/2006/relationships/vmlDrawing" Target="../drawings/vmlDrawing13.vml"/><Relationship Id="rId29" Type="http://schemas.openxmlformats.org/officeDocument/2006/relationships/ctrlProp" Target="../ctrlProps/ctrlProp799.xml"/><Relationship Id="rId24" Type="http://schemas.openxmlformats.org/officeDocument/2006/relationships/ctrlProp" Target="../ctrlProps/ctrlProp794.xml"/><Relationship Id="rId40" Type="http://schemas.openxmlformats.org/officeDocument/2006/relationships/ctrlProp" Target="../ctrlProps/ctrlProp810.xml"/><Relationship Id="rId45" Type="http://schemas.openxmlformats.org/officeDocument/2006/relationships/ctrlProp" Target="../ctrlProps/ctrlProp815.xml"/><Relationship Id="rId66" Type="http://schemas.openxmlformats.org/officeDocument/2006/relationships/ctrlProp" Target="../ctrlProps/ctrlProp836.xml"/><Relationship Id="rId87" Type="http://schemas.openxmlformats.org/officeDocument/2006/relationships/ctrlProp" Target="../ctrlProps/ctrlProp857.xml"/><Relationship Id="rId61" Type="http://schemas.openxmlformats.org/officeDocument/2006/relationships/ctrlProp" Target="../ctrlProps/ctrlProp831.xml"/><Relationship Id="rId82" Type="http://schemas.openxmlformats.org/officeDocument/2006/relationships/ctrlProp" Target="../ctrlProps/ctrlProp852.xml"/><Relationship Id="rId19" Type="http://schemas.openxmlformats.org/officeDocument/2006/relationships/ctrlProp" Target="../ctrlProps/ctrlProp789.xml"/><Relationship Id="rId14" Type="http://schemas.openxmlformats.org/officeDocument/2006/relationships/ctrlProp" Target="../ctrlProps/ctrlProp784.xml"/><Relationship Id="rId30" Type="http://schemas.openxmlformats.org/officeDocument/2006/relationships/ctrlProp" Target="../ctrlProps/ctrlProp800.xml"/><Relationship Id="rId35" Type="http://schemas.openxmlformats.org/officeDocument/2006/relationships/ctrlProp" Target="../ctrlProps/ctrlProp805.xml"/><Relationship Id="rId56" Type="http://schemas.openxmlformats.org/officeDocument/2006/relationships/ctrlProp" Target="../ctrlProps/ctrlProp826.xml"/><Relationship Id="rId77" Type="http://schemas.openxmlformats.org/officeDocument/2006/relationships/ctrlProp" Target="../ctrlProps/ctrlProp8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50"/>
  <sheetViews>
    <sheetView zoomScaleNormal="100" workbookViewId="0">
      <selection activeCell="M58" sqref="M58"/>
    </sheetView>
  </sheetViews>
  <sheetFormatPr defaultRowHeight="15"/>
  <sheetData>
    <row r="1" spans="1:30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</row>
    <row r="4" spans="1:30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</row>
    <row r="5" spans="1:30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</row>
    <row r="6" spans="1:30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</row>
    <row r="7" spans="1:30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</row>
    <row r="8" spans="1:30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</row>
    <row r="9" spans="1:30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</row>
    <row r="10" spans="1:30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</row>
    <row r="11" spans="1:30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</row>
    <row r="12" spans="1:30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</row>
    <row r="13" spans="1:30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</row>
    <row r="14" spans="1:30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</row>
    <row r="15" spans="1:30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</row>
    <row r="16" spans="1:30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</row>
    <row r="17" spans="1:30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</row>
    <row r="18" spans="1:30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</row>
    <row r="19" spans="1:30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</row>
    <row r="20" spans="1:30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</row>
    <row r="21" spans="1:30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</row>
    <row r="22" spans="1:30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</row>
    <row r="23" spans="1:30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</row>
    <row r="24" spans="1:30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</row>
    <row r="25" spans="1:30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</row>
    <row r="26" spans="1:30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</row>
    <row r="27" spans="1:30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</row>
    <row r="28" spans="1:30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</row>
    <row r="29" spans="1:30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</row>
    <row r="30" spans="1:30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</row>
    <row r="31" spans="1:30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</row>
    <row r="32" spans="1:30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</row>
    <row r="33" spans="1:30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</row>
    <row r="34" spans="1:30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</row>
    <row r="35" spans="1:30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</row>
    <row r="36" spans="1:30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</row>
    <row r="37" spans="1:30" ht="15.75" customHeight="1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</row>
    <row r="38" spans="1:30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</row>
    <row r="39" spans="1:30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</row>
    <row r="40" spans="1:30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</row>
    <row r="41" spans="1:30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</row>
    <row r="42" spans="1:30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0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0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0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0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</row>
    <row r="47" spans="1:30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</row>
    <row r="48" spans="1:30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</row>
    <row r="49" spans="1:30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</row>
    <row r="50" spans="1:30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11</xdr:row>
                    <xdr:rowOff>142875</xdr:rowOff>
                  </from>
                  <to>
                    <xdr:col>5</xdr:col>
                    <xdr:colOff>600075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600075</xdr:colOff>
                    <xdr:row>15</xdr:row>
                    <xdr:rowOff>95250</xdr:rowOff>
                  </from>
                  <to>
                    <xdr:col>5</xdr:col>
                    <xdr:colOff>600075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Button3_Click">
                <anchor moveWithCells="1" sizeWithCells="1">
                  <from>
                    <xdr:col>2</xdr:col>
                    <xdr:colOff>600075</xdr:colOff>
                    <xdr:row>19</xdr:row>
                    <xdr:rowOff>123825</xdr:rowOff>
                  </from>
                  <to>
                    <xdr:col>5</xdr:col>
                    <xdr:colOff>600075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600075</xdr:colOff>
                    <xdr:row>23</xdr:row>
                    <xdr:rowOff>161925</xdr:rowOff>
                  </from>
                  <to>
                    <xdr:col>5</xdr:col>
                    <xdr:colOff>600075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Button5_Click">
                <anchor moveWithCells="1" sizeWithCells="1">
                  <from>
                    <xdr:col>2</xdr:col>
                    <xdr:colOff>600075</xdr:colOff>
                    <xdr:row>28</xdr:row>
                    <xdr:rowOff>0</xdr:rowOff>
                  </from>
                  <to>
                    <xdr:col>5</xdr:col>
                    <xdr:colOff>600075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Button6_Click">
                <anchor moveWithCells="1" sizeWithCells="1">
                  <from>
                    <xdr:col>18</xdr:col>
                    <xdr:colOff>295275</xdr:colOff>
                    <xdr:row>13</xdr:row>
                    <xdr:rowOff>0</xdr:rowOff>
                  </from>
                  <to>
                    <xdr:col>21</xdr:col>
                    <xdr:colOff>419100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MainMenu_Button7_Click">
                <anchor moveWithCells="1" sizeWithCells="1">
                  <from>
                    <xdr:col>18</xdr:col>
                    <xdr:colOff>295275</xdr:colOff>
                    <xdr:row>15</xdr:row>
                    <xdr:rowOff>180975</xdr:rowOff>
                  </from>
                  <to>
                    <xdr:col>21</xdr:col>
                    <xdr:colOff>419100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MainMenu_Button8_Click">
                <anchor moveWithCells="1" sizeWithCells="1">
                  <from>
                    <xdr:col>18</xdr:col>
                    <xdr:colOff>295275</xdr:colOff>
                    <xdr:row>18</xdr:row>
                    <xdr:rowOff>142875</xdr:rowOff>
                  </from>
                  <to>
                    <xdr:col>21</xdr:col>
                    <xdr:colOff>400050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Button9_Click">
                <anchor moveWithCells="1" sizeWithCells="1">
                  <from>
                    <xdr:col>18</xdr:col>
                    <xdr:colOff>295275</xdr:colOff>
                    <xdr:row>21</xdr:row>
                    <xdr:rowOff>104775</xdr:rowOff>
                  </from>
                  <to>
                    <xdr:col>21</xdr:col>
                    <xdr:colOff>409575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Button10_Click">
                <anchor moveWithCells="1" sizeWithCells="1">
                  <from>
                    <xdr:col>18</xdr:col>
                    <xdr:colOff>295275</xdr:colOff>
                    <xdr:row>24</xdr:row>
                    <xdr:rowOff>66675</xdr:rowOff>
                  </from>
                  <to>
                    <xdr:col>21</xdr:col>
                    <xdr:colOff>419100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 macro="[0]!MainMenu_Button11_Click">
                <anchor moveWithCells="1" sizeWithCells="1">
                  <from>
                    <xdr:col>18</xdr:col>
                    <xdr:colOff>295275</xdr:colOff>
                    <xdr:row>27</xdr:row>
                    <xdr:rowOff>66675</xdr:rowOff>
                  </from>
                  <to>
                    <xdr:col>21</xdr:col>
                    <xdr:colOff>419100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 macro="[0]!MainMenu_Button12_Click">
                <anchor moveWithCells="1" sizeWithCells="1">
                  <from>
                    <xdr:col>18</xdr:col>
                    <xdr:colOff>295275</xdr:colOff>
                    <xdr:row>29</xdr:row>
                    <xdr:rowOff>171450</xdr:rowOff>
                  </from>
                  <to>
                    <xdr:col>21</xdr:col>
                    <xdr:colOff>428625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 macro="[0]!MainMenu_Button13_Click">
                <anchor moveWithCells="1" sizeWithCells="1">
                  <from>
                    <xdr:col>18</xdr:col>
                    <xdr:colOff>295275</xdr:colOff>
                    <xdr:row>32</xdr:row>
                    <xdr:rowOff>133350</xdr:rowOff>
                  </from>
                  <to>
                    <xdr:col>21</xdr:col>
                    <xdr:colOff>428625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 macro="[0]!MainMenu_Button14_Click">
                <anchor moveWithCells="1" sizeWithCells="1">
                  <from>
                    <xdr:col>2</xdr:col>
                    <xdr:colOff>600075</xdr:colOff>
                    <xdr:row>31</xdr:row>
                    <xdr:rowOff>66675</xdr:rowOff>
                  </from>
                  <to>
                    <xdr:col>5</xdr:col>
                    <xdr:colOff>600075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"/>
  <sheetViews>
    <sheetView workbookViewId="0">
      <selection activeCell="L3" sqref="L3"/>
    </sheetView>
  </sheetViews>
  <sheetFormatPr defaultRowHeight="15"/>
  <sheetData>
    <row r="1" spans="1:12">
      <c r="A1" t="s">
        <v>287</v>
      </c>
      <c r="B1" t="s">
        <v>286</v>
      </c>
      <c r="C1" t="s">
        <v>303</v>
      </c>
      <c r="D1" t="s">
        <v>304</v>
      </c>
      <c r="E1" t="s">
        <v>290</v>
      </c>
      <c r="F1" t="s">
        <v>305</v>
      </c>
      <c r="G1" t="s">
        <v>292</v>
      </c>
      <c r="H1" t="s">
        <v>306</v>
      </c>
      <c r="I1" t="s">
        <v>293</v>
      </c>
      <c r="J1" t="s">
        <v>307</v>
      </c>
      <c r="K1" t="s">
        <v>308</v>
      </c>
      <c r="L1" t="s">
        <v>309</v>
      </c>
    </row>
    <row r="2" spans="1:12">
      <c r="A2">
        <f ca="1">Revinue!$K$17</f>
        <v>5710.6350000000002</v>
      </c>
      <c r="B2">
        <f ca="1">Revinue!$L$17</f>
        <v>7133.9474999999993</v>
      </c>
      <c r="C2">
        <f ca="1">Revinue!$M$17</f>
        <v>11932.5975</v>
      </c>
      <c r="D2">
        <f ca="1">Revinue!$N$17</f>
        <v>12370.7</v>
      </c>
      <c r="E2">
        <f ca="1">Revinue!$O$17</f>
        <v>9202.0099999999984</v>
      </c>
      <c r="F2">
        <f ca="1">Revinue!$P$17</f>
        <v>5417.0724999999984</v>
      </c>
      <c r="G2">
        <f ca="1">Revinue!$Q$17</f>
        <v>12917.985000000001</v>
      </c>
      <c r="H2">
        <f ca="1">Revinue!$R$17</f>
        <v>8989.3849999999984</v>
      </c>
      <c r="I2">
        <f ca="1">Revinue!$S$17</f>
        <v>6172.5750000000007</v>
      </c>
      <c r="J2">
        <f ca="1">Revinue!$T$17</f>
        <v>11867.432499999995</v>
      </c>
      <c r="K2">
        <f ca="1">Revinue!$U$17</f>
        <v>14848.972500000002</v>
      </c>
      <c r="L2">
        <f ca="1">Revinue!$V$17</f>
        <v>18503.584999999999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87"/>
  <sheetViews>
    <sheetView topLeftCell="A4" zoomScale="80" zoomScaleNormal="80" workbookViewId="0">
      <selection activeCell="AC60" sqref="AC60"/>
    </sheetView>
  </sheetViews>
  <sheetFormatPr defaultRowHeight="15"/>
  <cols>
    <col min="2" max="3" width="11.28515625" customWidth="1"/>
    <col min="4" max="4" width="16.140625" customWidth="1"/>
    <col min="5" max="5" width="17.85546875" customWidth="1"/>
    <col min="9" max="9" width="15.140625" customWidth="1"/>
    <col min="10" max="10" width="15.5703125" customWidth="1"/>
    <col min="11" max="11" width="15.7109375" customWidth="1"/>
    <col min="12" max="12" width="10.85546875" customWidth="1"/>
    <col min="13" max="13" width="11.28515625" customWidth="1"/>
    <col min="14" max="14" width="11.5703125" customWidth="1"/>
    <col min="15" max="15" width="11" customWidth="1"/>
    <col min="16" max="16" width="12" customWidth="1"/>
    <col min="17" max="18" width="10.85546875" customWidth="1"/>
    <col min="19" max="19" width="11.42578125" customWidth="1"/>
    <col min="20" max="20" width="12" customWidth="1"/>
    <col min="21" max="21" width="11" customWidth="1"/>
    <col min="22" max="22" width="11.5703125" customWidth="1"/>
    <col min="23" max="23" width="11.42578125" bestFit="1" customWidth="1"/>
    <col min="24" max="24" width="10.85546875" bestFit="1" customWidth="1"/>
    <col min="25" max="25" width="11.28515625" bestFit="1" customWidth="1"/>
    <col min="26" max="26" width="12" bestFit="1" customWidth="1"/>
    <col min="27" max="27" width="11" bestFit="1" customWidth="1"/>
    <col min="28" max="28" width="12" bestFit="1" customWidth="1"/>
    <col min="29" max="30" width="10.85546875" bestFit="1" customWidth="1"/>
    <col min="31" max="31" width="11.42578125" bestFit="1" customWidth="1"/>
    <col min="32" max="34" width="12" bestFit="1" customWidth="1"/>
    <col min="35" max="35" width="11.42578125" bestFit="1" customWidth="1"/>
  </cols>
  <sheetData>
    <row r="1" spans="1:3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</row>
    <row r="3" spans="1:3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</row>
    <row r="4" spans="1:3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</row>
    <row r="5" spans="1:3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</row>
    <row r="6" spans="1:3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</row>
    <row r="7" spans="1:3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</row>
    <row r="8" spans="1:3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</row>
    <row r="9" spans="1:3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</row>
    <row r="10" spans="1:3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</row>
    <row r="11" spans="1:3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</row>
    <row r="12" spans="1:3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</row>
    <row r="13" spans="1:33" ht="22.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3"/>
      <c r="N13" s="113"/>
      <c r="O13" s="113" t="s">
        <v>310</v>
      </c>
      <c r="P13" s="113"/>
      <c r="Q13" s="106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</row>
    <row r="14" spans="1:3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</row>
    <row r="15" spans="1:3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03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5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</row>
    <row r="16" spans="1:3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07" t="s">
        <v>287</v>
      </c>
      <c r="L16" s="108" t="s">
        <v>286</v>
      </c>
      <c r="M16" s="108" t="s">
        <v>303</v>
      </c>
      <c r="N16" s="108" t="s">
        <v>304</v>
      </c>
      <c r="O16" s="108" t="s">
        <v>290</v>
      </c>
      <c r="P16" s="108" t="s">
        <v>305</v>
      </c>
      <c r="Q16" s="108" t="s">
        <v>292</v>
      </c>
      <c r="R16" s="108" t="s">
        <v>306</v>
      </c>
      <c r="S16" s="108" t="s">
        <v>293</v>
      </c>
      <c r="T16" s="108" t="s">
        <v>307</v>
      </c>
      <c r="U16" s="108" t="s">
        <v>308</v>
      </c>
      <c r="V16" s="109" t="s">
        <v>309</v>
      </c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</row>
    <row r="17" spans="1:33" ht="31.5" customHeight="1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0">
        <f ca="1">SUM('Royal Court Theatre'!K38,'Victoria Palace Theatre'!J37)</f>
        <v>5710.6350000000002</v>
      </c>
      <c r="L17" s="111">
        <f ca="1">SUM('Southwark Playhouse'!J37,'The Young Vic Theatre'!K37,'Soho Theatre'!K37)</f>
        <v>7133.9474999999993</v>
      </c>
      <c r="M17" s="111">
        <f ca="1">SUM('Southwark Playhouse'!J37,'Union Theatre'!M37,'The Young Vic Theatre'!K37,'The Old Vic'!L37)</f>
        <v>11932.5975</v>
      </c>
      <c r="N17" s="111">
        <f ca="1">SUM('Royal Court Theatre'!K38,'The Young Vic Theatre'!K37,'The Old Vic'!L37,'Soho Theatre'!K37)</f>
        <v>12370.7</v>
      </c>
      <c r="O17" s="111">
        <f ca="1">SUM('The Young Vic Theatre'!K37,'The Old Vic'!L37,'Victoria Palace Theatre'!J37)</f>
        <v>9202.0099999999984</v>
      </c>
      <c r="P17" s="111">
        <f ca="1">SUM('Southwark Playhouse'!J37,'National Theatre'!L37)</f>
        <v>5417.0724999999984</v>
      </c>
      <c r="Q17" s="111">
        <f ca="1">SUM('Royal Court Theatre'!K38,'National Theatre'!L37,'Union Theatre'!M37,'Victoria Palace Theatre'!J37)</f>
        <v>12917.985000000001</v>
      </c>
      <c r="R17" s="111">
        <f ca="1">SUM('National Theatre'!L37,'The Young Vic Theatre'!K37,'Victoria Palace Theatre'!J37)</f>
        <v>8989.3849999999984</v>
      </c>
      <c r="S17" s="111">
        <f ca="1">SUM('Union Theatre'!M37,'Soho Theatre'!K37)</f>
        <v>6172.5750000000007</v>
      </c>
      <c r="T17" s="111">
        <f ca="1">SUM('Southwark Playhouse'!J37,'National Theatre'!L37,'The Old Vic'!L37,'Victoria Palace Theatre'!J37)</f>
        <v>11867.432499999995</v>
      </c>
      <c r="U17" s="111">
        <f ca="1">SUM('Royal Court Theatre'!K38,'Southwark Playhouse'!J37,'National Theatre'!L37,'Union Theatre'!M37,'The Young Vic Theatre'!K37)</f>
        <v>14848.972500000002</v>
      </c>
      <c r="V17" s="112">
        <f ca="1">SUM('Royal Court Theatre'!K38,'Union Theatre'!M37,'The Young Vic Theatre'!K37,'The Old Vic'!L37,'Victoria Palace Theatre'!J37,'Soho Theatre'!K37)</f>
        <v>18503.584999999999</v>
      </c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</row>
    <row r="18" spans="1:3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</row>
    <row r="19" spans="1:3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</row>
    <row r="20" spans="1:3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</row>
    <row r="21" spans="1:3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</row>
    <row r="22" spans="1:3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</row>
    <row r="23" spans="1:3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</row>
    <row r="24" spans="1:3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</row>
    <row r="25" spans="1:33" ht="18">
      <c r="A25" s="11"/>
      <c r="B25" s="134" t="s">
        <v>327</v>
      </c>
      <c r="C25" s="135" t="s">
        <v>326</v>
      </c>
      <c r="D25" s="135" t="s">
        <v>328</v>
      </c>
      <c r="E25" s="144" t="s">
        <v>323</v>
      </c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</row>
    <row r="26" spans="1:33" ht="15.75">
      <c r="A26" s="11"/>
      <c r="B26" s="140">
        <v>1</v>
      </c>
      <c r="C26" s="142">
        <v>41640</v>
      </c>
      <c r="D26" s="136">
        <f ca="1">K17</f>
        <v>5710.6350000000002</v>
      </c>
      <c r="E26" s="137">
        <f ca="1">FORECAST(B26,$D$26:$D$37,$B$26:$B$37)</f>
        <v>6853.5119871794859</v>
      </c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</row>
    <row r="27" spans="1:33" ht="15.75">
      <c r="A27" s="11"/>
      <c r="B27" s="140">
        <v>2</v>
      </c>
      <c r="C27" s="142">
        <v>41671</v>
      </c>
      <c r="D27" s="136">
        <f ca="1">L17</f>
        <v>7133.9474999999993</v>
      </c>
      <c r="E27" s="137">
        <f t="shared" ref="E27:E40" ca="1" si="0">FORECAST(B27,$D$26:$D$37,$B$26:$B$37)</f>
        <v>7502.3718910256403</v>
      </c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</row>
    <row r="28" spans="1:33" ht="15.75">
      <c r="A28" s="11"/>
      <c r="B28" s="140">
        <v>3</v>
      </c>
      <c r="C28" s="142">
        <v>41699</v>
      </c>
      <c r="D28" s="136">
        <f ca="1">M17</f>
        <v>11932.5975</v>
      </c>
      <c r="E28" s="137">
        <f t="shared" ca="1" si="0"/>
        <v>8151.2317948717937</v>
      </c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</row>
    <row r="29" spans="1:33" ht="15.75">
      <c r="A29" s="11"/>
      <c r="B29" s="140">
        <v>4</v>
      </c>
      <c r="C29" s="142">
        <v>41730</v>
      </c>
      <c r="D29" s="136">
        <f ca="1">N17</f>
        <v>12370.7</v>
      </c>
      <c r="E29" s="137">
        <f t="shared" ca="1" si="0"/>
        <v>8800.091698717948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</row>
    <row r="30" spans="1:33" ht="15.75">
      <c r="A30" s="11"/>
      <c r="B30" s="140">
        <v>5</v>
      </c>
      <c r="C30" s="142">
        <v>41760</v>
      </c>
      <c r="D30" s="136">
        <f ca="1">O17</f>
        <v>9202.0099999999984</v>
      </c>
      <c r="E30" s="137">
        <f t="shared" ca="1" si="0"/>
        <v>9448.9516025641024</v>
      </c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</row>
    <row r="31" spans="1:33" ht="15.75">
      <c r="A31" s="11"/>
      <c r="B31" s="140">
        <v>6</v>
      </c>
      <c r="C31" s="142">
        <v>41791</v>
      </c>
      <c r="D31" s="136">
        <f ca="1">P17</f>
        <v>5417.0724999999984</v>
      </c>
      <c r="E31" s="137">
        <f t="shared" ca="1" si="0"/>
        <v>10097.811506410255</v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</row>
    <row r="32" spans="1:33" ht="15.75">
      <c r="A32" s="11"/>
      <c r="B32" s="140">
        <v>7</v>
      </c>
      <c r="C32" s="142">
        <v>41821</v>
      </c>
      <c r="D32" s="136">
        <f ca="1">Q17</f>
        <v>12917.985000000001</v>
      </c>
      <c r="E32" s="137">
        <f t="shared" ca="1" si="0"/>
        <v>10746.671410256409</v>
      </c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ht="15.75">
      <c r="A33" s="11"/>
      <c r="B33" s="140">
        <v>8</v>
      </c>
      <c r="C33" s="142">
        <v>41852</v>
      </c>
      <c r="D33" s="136">
        <f ca="1">R17</f>
        <v>8989.3849999999984</v>
      </c>
      <c r="E33" s="137">
        <f t="shared" ca="1" si="0"/>
        <v>11395.531314102562</v>
      </c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ht="15.75">
      <c r="A34" s="11"/>
      <c r="B34" s="140">
        <v>9</v>
      </c>
      <c r="C34" s="142">
        <v>41883</v>
      </c>
      <c r="D34" s="136">
        <f ca="1">S17</f>
        <v>6172.5750000000007</v>
      </c>
      <c r="E34" s="137">
        <f t="shared" ca="1" si="0"/>
        <v>12044.391217948716</v>
      </c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ht="15.75">
      <c r="A35" s="11"/>
      <c r="B35" s="140">
        <v>10</v>
      </c>
      <c r="C35" s="142">
        <v>41913</v>
      </c>
      <c r="D35" s="136">
        <f ca="1">T17</f>
        <v>11867.432499999995</v>
      </c>
      <c r="E35" s="137">
        <f t="shared" ca="1" si="0"/>
        <v>12693.25112179487</v>
      </c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ht="15.75">
      <c r="A36" s="11"/>
      <c r="B36" s="140">
        <v>11</v>
      </c>
      <c r="C36" s="142">
        <v>41944</v>
      </c>
      <c r="D36" s="136">
        <f ca="1">U17</f>
        <v>14848.972500000002</v>
      </c>
      <c r="E36" s="137">
        <f t="shared" ca="1" si="0"/>
        <v>13342.111025641025</v>
      </c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ht="15.75">
      <c r="A37" s="11"/>
      <c r="B37" s="140">
        <v>12</v>
      </c>
      <c r="C37" s="142">
        <v>41974</v>
      </c>
      <c r="D37" s="136">
        <f ca="1">V17</f>
        <v>18503.584999999999</v>
      </c>
      <c r="E37" s="137">
        <f t="shared" ca="1" si="0"/>
        <v>13990.970929487177</v>
      </c>
      <c r="F37" s="11"/>
      <c r="G37" s="11"/>
      <c r="H37" s="11"/>
      <c r="I37" s="11"/>
      <c r="J37" s="11"/>
      <c r="K37" s="11"/>
      <c r="L37" s="43" t="s">
        <v>311</v>
      </c>
      <c r="M37" s="43" t="s">
        <v>312</v>
      </c>
      <c r="N37" s="43" t="s">
        <v>313</v>
      </c>
      <c r="O37" s="43" t="s">
        <v>314</v>
      </c>
      <c r="P37" s="43" t="s">
        <v>315</v>
      </c>
      <c r="Q37" s="43" t="s">
        <v>316</v>
      </c>
      <c r="R37" s="43" t="s">
        <v>317</v>
      </c>
      <c r="S37" s="43" t="s">
        <v>318</v>
      </c>
      <c r="T37" s="43" t="s">
        <v>319</v>
      </c>
      <c r="U37" s="43" t="s">
        <v>320</v>
      </c>
      <c r="V37" s="43" t="s">
        <v>321</v>
      </c>
      <c r="W37" s="43" t="s">
        <v>322</v>
      </c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ht="15.75">
      <c r="A38" s="11"/>
      <c r="B38" s="140">
        <v>13</v>
      </c>
      <c r="C38" s="142">
        <v>42005</v>
      </c>
      <c r="D38" s="138"/>
      <c r="E38" s="137">
        <f t="shared" ca="1" si="0"/>
        <v>14639.830833333332</v>
      </c>
      <c r="F38" s="11"/>
      <c r="G38" s="11"/>
      <c r="H38" s="11"/>
      <c r="I38" s="11"/>
      <c r="J38" s="11"/>
      <c r="K38" s="11"/>
      <c r="L38" s="124">
        <v>5710.6350000000002</v>
      </c>
      <c r="M38" s="124">
        <v>7133.9474999999993</v>
      </c>
      <c r="N38" s="124">
        <v>11932.5975</v>
      </c>
      <c r="O38" s="124">
        <v>12370.7</v>
      </c>
      <c r="P38" s="124">
        <v>9202.0099999999984</v>
      </c>
      <c r="Q38" s="124">
        <v>5417.0724999999984</v>
      </c>
      <c r="R38" s="124">
        <v>12917.985000000001</v>
      </c>
      <c r="S38" s="124">
        <v>8989.3849999999984</v>
      </c>
      <c r="T38" s="124">
        <v>6172.5750000000007</v>
      </c>
      <c r="U38" s="124">
        <v>11867.432499999995</v>
      </c>
      <c r="V38" s="124">
        <v>14848.972500000002</v>
      </c>
      <c r="W38" s="124">
        <v>18503.584999999999</v>
      </c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ht="15.75">
      <c r="A39" s="11"/>
      <c r="B39" s="140">
        <v>14</v>
      </c>
      <c r="C39" s="142">
        <v>42036</v>
      </c>
      <c r="D39" s="138"/>
      <c r="E39" s="137">
        <f t="shared" ca="1" si="0"/>
        <v>15288.690737179486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ht="15.75">
      <c r="A40" s="11"/>
      <c r="B40" s="141">
        <v>15</v>
      </c>
      <c r="C40" s="143">
        <v>42064</v>
      </c>
      <c r="D40" s="139"/>
      <c r="E40" s="137">
        <f t="shared" ca="1" si="0"/>
        <v>15937.550641025638</v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</row>
    <row r="42" spans="1:3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</row>
    <row r="43" spans="1:3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</row>
    <row r="44" spans="1:33">
      <c r="A44" s="11"/>
      <c r="B44" s="11"/>
      <c r="C44" s="11"/>
      <c r="D44" s="11"/>
      <c r="E44" s="11"/>
      <c r="F44" s="11"/>
      <c r="G44" s="11"/>
      <c r="H44" s="11"/>
      <c r="I44" s="187" t="s">
        <v>331</v>
      </c>
      <c r="J44" t="s">
        <v>330</v>
      </c>
      <c r="K44" t="s">
        <v>334</v>
      </c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</row>
    <row r="45" spans="1:33">
      <c r="A45" s="11"/>
      <c r="B45" s="11"/>
      <c r="C45" s="11"/>
      <c r="D45" s="11"/>
      <c r="E45" s="11"/>
      <c r="F45" s="11"/>
      <c r="G45" s="11"/>
      <c r="H45" s="11"/>
      <c r="I45" s="182">
        <v>41640</v>
      </c>
      <c r="J45" s="132">
        <v>1</v>
      </c>
      <c r="K45" s="132">
        <v>6853.5119871794859</v>
      </c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>
      <c r="A46" s="11"/>
      <c r="B46" s="11"/>
      <c r="C46" s="11"/>
      <c r="D46" s="11"/>
      <c r="E46" s="11"/>
      <c r="F46" s="11"/>
      <c r="G46" s="11"/>
      <c r="H46" s="11"/>
      <c r="I46" s="183">
        <v>5710.6350000000002</v>
      </c>
      <c r="J46" s="132">
        <v>1</v>
      </c>
      <c r="K46" s="132">
        <v>6853.5119871794859</v>
      </c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>
      <c r="A47" s="11"/>
      <c r="B47" s="11"/>
      <c r="C47" s="11"/>
      <c r="D47" s="11"/>
      <c r="E47" s="11"/>
      <c r="F47" s="11"/>
      <c r="G47" s="11"/>
      <c r="H47" s="11"/>
      <c r="I47" s="182">
        <v>41671</v>
      </c>
      <c r="J47" s="132">
        <v>2</v>
      </c>
      <c r="K47" s="132">
        <v>7502.3718910256403</v>
      </c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>
      <c r="A48" s="11"/>
      <c r="B48" s="11"/>
      <c r="C48" s="11"/>
      <c r="D48" s="11"/>
      <c r="E48" s="11"/>
      <c r="F48" s="11"/>
      <c r="G48" s="11"/>
      <c r="H48" s="11"/>
      <c r="I48" s="183">
        <v>7133.9474999999993</v>
      </c>
      <c r="J48" s="132">
        <v>2</v>
      </c>
      <c r="K48" s="132">
        <v>7502.3718910256403</v>
      </c>
      <c r="L48" s="11"/>
      <c r="M48" s="11"/>
      <c r="N48" s="184"/>
      <c r="O48" s="185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>
      <c r="A49" s="11"/>
      <c r="B49" s="11"/>
      <c r="C49" s="11"/>
      <c r="D49" s="11"/>
      <c r="E49" s="11"/>
      <c r="F49" s="11"/>
      <c r="G49" s="11"/>
      <c r="H49" s="11"/>
      <c r="I49" s="182">
        <v>41699</v>
      </c>
      <c r="J49" s="132">
        <v>3</v>
      </c>
      <c r="K49" s="132">
        <v>8151.2317948717937</v>
      </c>
      <c r="L49" s="11"/>
      <c r="M49" s="11"/>
      <c r="N49" s="186"/>
      <c r="O49" s="185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</row>
    <row r="50" spans="1:33">
      <c r="A50" s="11"/>
      <c r="B50" s="11"/>
      <c r="C50" s="11"/>
      <c r="D50" s="11"/>
      <c r="E50" s="11"/>
      <c r="F50" s="11"/>
      <c r="G50" s="11"/>
      <c r="H50" s="11"/>
      <c r="I50" s="183">
        <v>11932.5975</v>
      </c>
      <c r="J50" s="132">
        <v>3</v>
      </c>
      <c r="K50" s="132">
        <v>8151.2317948717937</v>
      </c>
      <c r="L50" s="11"/>
      <c r="M50" s="11"/>
      <c r="N50" s="184"/>
      <c r="O50" s="185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>
      <c r="A51" s="11"/>
      <c r="B51" s="11"/>
      <c r="C51" s="11"/>
      <c r="D51" s="11"/>
      <c r="E51" s="11"/>
      <c r="F51" s="11"/>
      <c r="G51" s="11"/>
      <c r="H51" s="11"/>
      <c r="I51" s="182">
        <v>41730</v>
      </c>
      <c r="J51" s="132">
        <v>4</v>
      </c>
      <c r="K51" s="132">
        <v>8800.091698717948</v>
      </c>
      <c r="L51" s="11"/>
      <c r="M51" s="11"/>
      <c r="N51" s="186"/>
      <c r="O51" s="185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>
      <c r="A52" s="11"/>
      <c r="B52" s="11"/>
      <c r="C52" s="11"/>
      <c r="D52" s="11"/>
      <c r="E52" s="11"/>
      <c r="F52" s="11"/>
      <c r="G52" s="11"/>
      <c r="H52" s="11"/>
      <c r="I52" s="183">
        <v>12370.7</v>
      </c>
      <c r="J52" s="132">
        <v>4</v>
      </c>
      <c r="K52" s="132">
        <v>8800.091698717948</v>
      </c>
      <c r="L52" s="11"/>
      <c r="M52" s="11"/>
      <c r="N52" s="184"/>
      <c r="O52" s="185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3" spans="1:33">
      <c r="A53" s="11"/>
      <c r="B53" s="11"/>
      <c r="C53" s="11"/>
      <c r="D53" s="11"/>
      <c r="E53" s="11"/>
      <c r="F53" s="11"/>
      <c r="G53" s="11"/>
      <c r="H53" s="11"/>
      <c r="I53" s="182">
        <v>41760</v>
      </c>
      <c r="J53" s="132">
        <v>5</v>
      </c>
      <c r="K53" s="132">
        <v>9448.9516025641024</v>
      </c>
      <c r="L53" s="11"/>
      <c r="M53" s="11"/>
      <c r="N53" s="186"/>
      <c r="O53" s="185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</row>
    <row r="54" spans="1:33">
      <c r="A54" s="11"/>
      <c r="B54" s="11"/>
      <c r="C54" s="11"/>
      <c r="D54" s="11"/>
      <c r="E54" s="11"/>
      <c r="F54" s="11"/>
      <c r="G54" s="11"/>
      <c r="H54" s="11"/>
      <c r="I54" s="183">
        <v>9202.0099999999984</v>
      </c>
      <c r="J54" s="132">
        <v>5</v>
      </c>
      <c r="K54" s="132">
        <v>9448.9516025641024</v>
      </c>
      <c r="L54" s="11"/>
      <c r="M54" s="11"/>
      <c r="N54" s="184"/>
      <c r="O54" s="185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</row>
    <row r="55" spans="1:33">
      <c r="A55" s="11"/>
      <c r="B55" s="11"/>
      <c r="C55" s="11"/>
      <c r="D55" s="11"/>
      <c r="E55" s="11"/>
      <c r="F55" s="11"/>
      <c r="G55" s="11"/>
      <c r="H55" s="11"/>
      <c r="I55" s="182">
        <v>41791</v>
      </c>
      <c r="J55" s="132">
        <v>6</v>
      </c>
      <c r="K55" s="132">
        <v>10097.811506410255</v>
      </c>
      <c r="L55" s="11"/>
      <c r="M55" s="11"/>
      <c r="N55" s="186"/>
      <c r="O55" s="185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</row>
    <row r="56" spans="1:33">
      <c r="A56" s="11"/>
      <c r="B56" s="11"/>
      <c r="C56" s="11"/>
      <c r="D56" s="11"/>
      <c r="E56" s="11"/>
      <c r="F56" s="11"/>
      <c r="G56" s="11"/>
      <c r="H56" s="11"/>
      <c r="I56" s="183">
        <v>5417.0724999999984</v>
      </c>
      <c r="J56" s="132">
        <v>6</v>
      </c>
      <c r="K56" s="132">
        <v>10097.811506410255</v>
      </c>
      <c r="L56" s="11"/>
      <c r="M56" s="11"/>
      <c r="N56" s="184"/>
      <c r="O56" s="185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</row>
    <row r="57" spans="1:33">
      <c r="A57" s="11"/>
      <c r="B57" s="11"/>
      <c r="C57" s="11"/>
      <c r="D57" s="11"/>
      <c r="E57" s="11"/>
      <c r="F57" s="11"/>
      <c r="G57" s="11"/>
      <c r="H57" s="11"/>
      <c r="I57" s="182">
        <v>41821</v>
      </c>
      <c r="J57" s="132">
        <v>7</v>
      </c>
      <c r="K57" s="132">
        <v>10746.671410256409</v>
      </c>
      <c r="L57" s="11"/>
      <c r="M57" s="11"/>
      <c r="N57" s="186"/>
      <c r="O57" s="185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</row>
    <row r="58" spans="1:33">
      <c r="A58" s="11"/>
      <c r="B58" s="11"/>
      <c r="C58" s="11"/>
      <c r="D58" s="11"/>
      <c r="E58" s="11"/>
      <c r="F58" s="11"/>
      <c r="G58" s="11"/>
      <c r="H58" s="11"/>
      <c r="I58" s="183">
        <v>12917.985000000001</v>
      </c>
      <c r="J58" s="132">
        <v>7</v>
      </c>
      <c r="K58" s="132">
        <v>10746.671410256409</v>
      </c>
      <c r="L58" s="11"/>
      <c r="M58" s="11"/>
      <c r="N58" s="184"/>
      <c r="O58" s="185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</row>
    <row r="59" spans="1:33">
      <c r="A59" s="11"/>
      <c r="B59" s="11"/>
      <c r="C59" s="11"/>
      <c r="D59" s="11"/>
      <c r="E59" s="11"/>
      <c r="F59" s="11"/>
      <c r="G59" s="11"/>
      <c r="H59" s="11"/>
      <c r="I59" s="182">
        <v>41852</v>
      </c>
      <c r="J59" s="132">
        <v>8</v>
      </c>
      <c r="K59" s="132">
        <v>11395.531314102562</v>
      </c>
      <c r="L59" s="11"/>
      <c r="M59" s="11"/>
      <c r="N59" s="186"/>
      <c r="O59" s="185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</row>
    <row r="60" spans="1:33">
      <c r="A60" s="11"/>
      <c r="B60" s="11"/>
      <c r="C60" s="11"/>
      <c r="D60" s="11"/>
      <c r="E60" s="11"/>
      <c r="F60" s="11"/>
      <c r="G60" s="11"/>
      <c r="H60" s="11"/>
      <c r="I60" s="183">
        <v>8989.3849999999984</v>
      </c>
      <c r="J60" s="132">
        <v>8</v>
      </c>
      <c r="K60" s="132">
        <v>11395.531314102562</v>
      </c>
      <c r="L60" s="11"/>
      <c r="M60" s="11"/>
      <c r="N60" s="184"/>
      <c r="O60" s="185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</row>
    <row r="61" spans="1:33">
      <c r="A61" s="11"/>
      <c r="B61" s="11"/>
      <c r="C61" s="11"/>
      <c r="D61" s="11"/>
      <c r="E61" s="11"/>
      <c r="F61" s="11"/>
      <c r="G61" s="11"/>
      <c r="H61" s="11"/>
      <c r="I61" s="182">
        <v>41883</v>
      </c>
      <c r="J61" s="132">
        <v>9</v>
      </c>
      <c r="K61" s="132">
        <v>12044.391217948716</v>
      </c>
      <c r="L61" s="11"/>
      <c r="M61" s="11"/>
      <c r="N61" s="186"/>
      <c r="O61" s="185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</row>
    <row r="62" spans="1:33">
      <c r="A62" s="11"/>
      <c r="B62" s="11"/>
      <c r="C62" s="11"/>
      <c r="D62" s="11"/>
      <c r="E62" s="11"/>
      <c r="F62" s="11"/>
      <c r="G62" s="11"/>
      <c r="H62" s="11"/>
      <c r="I62" s="183">
        <v>6172.5750000000007</v>
      </c>
      <c r="J62" s="132">
        <v>9</v>
      </c>
      <c r="K62" s="132">
        <v>12044.391217948716</v>
      </c>
      <c r="L62" s="11"/>
      <c r="M62" s="11"/>
      <c r="N62" s="184"/>
      <c r="O62" s="185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</row>
    <row r="63" spans="1:33">
      <c r="A63" s="11"/>
      <c r="B63" s="11"/>
      <c r="C63" s="11"/>
      <c r="D63" s="11"/>
      <c r="E63" s="11"/>
      <c r="F63" s="11"/>
      <c r="G63" s="11"/>
      <c r="H63" s="11"/>
      <c r="I63" s="182">
        <v>41913</v>
      </c>
      <c r="J63" s="132">
        <v>10</v>
      </c>
      <c r="K63" s="132">
        <v>12693.25112179487</v>
      </c>
      <c r="L63" s="11"/>
      <c r="M63" s="11"/>
      <c r="N63" s="186"/>
      <c r="O63" s="185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</row>
    <row r="64" spans="1:33">
      <c r="A64" s="11"/>
      <c r="B64" s="11"/>
      <c r="C64" s="11"/>
      <c r="D64" s="11"/>
      <c r="E64" s="11"/>
      <c r="F64" s="11"/>
      <c r="G64" s="11"/>
      <c r="H64" s="11"/>
      <c r="I64" s="183">
        <v>11867.432499999995</v>
      </c>
      <c r="J64" s="132">
        <v>10</v>
      </c>
      <c r="K64" s="132">
        <v>12693.25112179487</v>
      </c>
      <c r="L64" s="11"/>
      <c r="M64" s="11"/>
      <c r="N64" s="184"/>
      <c r="O64" s="185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</row>
    <row r="65" spans="1:33">
      <c r="A65" s="11"/>
      <c r="B65" s="11"/>
      <c r="C65" s="11"/>
      <c r="D65" s="11"/>
      <c r="E65" s="11"/>
      <c r="F65" s="11"/>
      <c r="G65" s="11"/>
      <c r="H65" s="11"/>
      <c r="I65" s="182">
        <v>41944</v>
      </c>
      <c r="J65" s="132">
        <v>11</v>
      </c>
      <c r="K65" s="132">
        <v>13342.111025641025</v>
      </c>
      <c r="L65" s="11"/>
      <c r="M65" s="11"/>
      <c r="N65" s="186"/>
      <c r="O65" s="185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</row>
    <row r="66" spans="1:33">
      <c r="A66" s="11"/>
      <c r="B66" s="11"/>
      <c r="C66" s="11"/>
      <c r="D66" s="11"/>
      <c r="E66" s="11"/>
      <c r="F66" s="11"/>
      <c r="G66" s="11"/>
      <c r="H66" s="11"/>
      <c r="I66" s="183">
        <v>14848.972500000002</v>
      </c>
      <c r="J66" s="132">
        <v>11</v>
      </c>
      <c r="K66" s="132">
        <v>13342.111025641025</v>
      </c>
      <c r="L66" s="11"/>
      <c r="M66" s="11"/>
      <c r="N66" s="184"/>
      <c r="O66" s="185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</row>
    <row r="67" spans="1:33">
      <c r="A67" s="11"/>
      <c r="B67" s="11"/>
      <c r="C67" s="11"/>
      <c r="D67" s="11"/>
      <c r="E67" s="11"/>
      <c r="F67" s="11"/>
      <c r="G67" s="11"/>
      <c r="H67" s="11"/>
      <c r="I67" s="182">
        <v>41974</v>
      </c>
      <c r="J67" s="132">
        <v>12</v>
      </c>
      <c r="K67" s="132">
        <v>13990.970929487177</v>
      </c>
      <c r="L67" s="11"/>
      <c r="M67" s="11"/>
      <c r="N67" s="186"/>
      <c r="O67" s="185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</row>
    <row r="68" spans="1:33">
      <c r="A68" s="11"/>
      <c r="B68" s="11"/>
      <c r="C68" s="11"/>
      <c r="D68" s="11"/>
      <c r="E68" s="11"/>
      <c r="F68" s="11"/>
      <c r="G68" s="11"/>
      <c r="H68" s="11"/>
      <c r="I68" s="183">
        <v>18503.584999999999</v>
      </c>
      <c r="J68" s="132">
        <v>12</v>
      </c>
      <c r="K68" s="132">
        <v>13990.970929487177</v>
      </c>
      <c r="L68" s="121"/>
      <c r="M68" s="11"/>
      <c r="N68" s="184"/>
      <c r="O68" s="185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</row>
    <row r="69" spans="1:33">
      <c r="A69" s="11"/>
      <c r="B69" s="11"/>
      <c r="C69" s="11"/>
      <c r="D69" s="11"/>
      <c r="E69" s="11"/>
      <c r="F69" s="11"/>
      <c r="G69" s="11"/>
      <c r="H69" s="11"/>
      <c r="I69" s="182">
        <v>42005</v>
      </c>
      <c r="J69" s="132">
        <v>13</v>
      </c>
      <c r="K69" s="132">
        <v>14639.830833333332</v>
      </c>
      <c r="L69" s="121"/>
      <c r="M69" s="11"/>
      <c r="N69" s="186"/>
      <c r="O69" s="185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</row>
    <row r="70" spans="1:33">
      <c r="A70" s="11"/>
      <c r="B70" s="11"/>
      <c r="C70" s="11"/>
      <c r="D70" s="11"/>
      <c r="E70" s="11"/>
      <c r="F70" s="11"/>
      <c r="G70" s="11"/>
      <c r="H70" s="11"/>
      <c r="I70" s="183" t="s">
        <v>333</v>
      </c>
      <c r="J70" s="132">
        <v>13</v>
      </c>
      <c r="K70" s="132">
        <v>14639.830833333332</v>
      </c>
      <c r="L70" s="11"/>
      <c r="M70" s="92"/>
      <c r="N70" s="184"/>
      <c r="O70" s="185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</row>
    <row r="71" spans="1:33">
      <c r="A71" s="11"/>
      <c r="B71" s="11"/>
      <c r="C71" s="11"/>
      <c r="D71" s="11"/>
      <c r="E71" s="11"/>
      <c r="F71" s="11"/>
      <c r="G71" s="11"/>
      <c r="H71" s="11"/>
      <c r="I71" s="182">
        <v>42036</v>
      </c>
      <c r="J71" s="132">
        <v>14</v>
      </c>
      <c r="K71" s="132">
        <v>15288.690737179486</v>
      </c>
      <c r="L71" s="11"/>
      <c r="M71" s="11"/>
      <c r="N71" s="186"/>
      <c r="O71" s="185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</row>
    <row r="72" spans="1:33">
      <c r="A72" s="11"/>
      <c r="B72" s="11"/>
      <c r="C72" s="11"/>
      <c r="D72" s="11"/>
      <c r="E72" s="11"/>
      <c r="F72" s="11"/>
      <c r="G72" s="11"/>
      <c r="H72" s="11"/>
      <c r="I72" s="183" t="s">
        <v>333</v>
      </c>
      <c r="J72" s="132">
        <v>14</v>
      </c>
      <c r="K72" s="132">
        <v>15288.690737179486</v>
      </c>
      <c r="L72" s="11"/>
      <c r="M72" s="11"/>
      <c r="N72" s="184"/>
      <c r="O72" s="185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</row>
    <row r="73" spans="1:33">
      <c r="A73" s="11"/>
      <c r="B73" s="11"/>
      <c r="C73" s="11"/>
      <c r="D73" s="11"/>
      <c r="E73" s="11"/>
      <c r="F73" s="11"/>
      <c r="G73" s="11"/>
      <c r="H73" s="11"/>
      <c r="I73" s="182">
        <v>42064</v>
      </c>
      <c r="J73" s="132">
        <v>15</v>
      </c>
      <c r="K73" s="132">
        <v>15937.550641025638</v>
      </c>
      <c r="L73" s="11"/>
      <c r="M73" s="11"/>
      <c r="N73" s="186"/>
      <c r="O73" s="185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</row>
    <row r="74" spans="1:33">
      <c r="A74" s="11"/>
      <c r="B74" s="11"/>
      <c r="C74" s="11"/>
      <c r="D74" s="11"/>
      <c r="E74" s="11"/>
      <c r="F74" s="11"/>
      <c r="G74" s="11"/>
      <c r="H74" s="11"/>
      <c r="I74" s="183" t="s">
        <v>333</v>
      </c>
      <c r="J74" s="132">
        <v>15</v>
      </c>
      <c r="K74" s="132">
        <v>15937.550641025638</v>
      </c>
      <c r="L74" s="11"/>
      <c r="M74" s="11"/>
      <c r="N74" s="184"/>
      <c r="O74" s="185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</row>
    <row r="75" spans="1:33">
      <c r="A75" s="11"/>
      <c r="B75" s="11"/>
      <c r="C75" s="11"/>
      <c r="D75" s="11"/>
      <c r="E75" s="11"/>
      <c r="F75" s="11"/>
      <c r="G75" s="11"/>
      <c r="H75" s="11"/>
      <c r="I75" s="182" t="s">
        <v>332</v>
      </c>
      <c r="J75" s="132">
        <v>120</v>
      </c>
      <c r="K75" s="132">
        <v>170932.96971153846</v>
      </c>
      <c r="L75" s="11"/>
      <c r="M75" s="11"/>
      <c r="N75" s="186"/>
      <c r="O75" s="185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</row>
    <row r="76" spans="1:33">
      <c r="A76" s="11"/>
      <c r="B76" s="11"/>
      <c r="C76" s="11"/>
      <c r="D76" s="11"/>
      <c r="E76" s="11"/>
      <c r="F76" s="11"/>
      <c r="G76" s="11"/>
      <c r="H76" s="11"/>
      <c r="I76" s="11"/>
      <c r="J76" s="121"/>
      <c r="K76" s="11"/>
      <c r="L76" s="11"/>
      <c r="M76" s="11"/>
      <c r="N76" s="184"/>
      <c r="O76" s="185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</row>
    <row r="77" spans="1:33">
      <c r="A77" s="11"/>
      <c r="B77" s="11"/>
      <c r="C77" s="11"/>
      <c r="D77" s="11"/>
      <c r="E77" s="11"/>
      <c r="F77" s="11"/>
      <c r="G77" s="11"/>
      <c r="H77" s="11"/>
      <c r="I77" s="11"/>
      <c r="J77" s="121"/>
      <c r="K77" s="11"/>
      <c r="L77" s="11"/>
      <c r="M77" s="11"/>
      <c r="N77" s="186"/>
      <c r="O77" s="185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</row>
    <row r="78" spans="1:33">
      <c r="A78" s="11"/>
      <c r="B78" s="11"/>
      <c r="C78" s="11"/>
      <c r="D78" s="11"/>
      <c r="E78" s="11"/>
      <c r="F78" s="11"/>
      <c r="G78" s="11"/>
      <c r="H78" s="11"/>
      <c r="I78" s="11"/>
      <c r="J78" s="121"/>
      <c r="K78" s="11"/>
      <c r="L78" s="11"/>
      <c r="M78" s="11"/>
      <c r="N78" s="184"/>
      <c r="O78" s="185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</row>
    <row r="79" spans="1:33">
      <c r="A79" s="11"/>
      <c r="B79" s="11"/>
      <c r="C79" s="11"/>
      <c r="D79" s="11"/>
      <c r="E79" s="11"/>
      <c r="F79" s="11"/>
      <c r="G79" s="11"/>
      <c r="H79" s="11"/>
      <c r="I79" s="11"/>
      <c r="J79" s="121"/>
      <c r="K79" s="11"/>
      <c r="L79" s="11"/>
      <c r="M79" s="11"/>
      <c r="N79" s="11"/>
      <c r="O79" s="12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</row>
    <row r="80" spans="1:33">
      <c r="A80" s="11"/>
      <c r="B80" s="11"/>
      <c r="C80" s="11"/>
      <c r="D80" s="11"/>
      <c r="E80" s="11"/>
      <c r="F80" s="11"/>
      <c r="G80" s="11"/>
      <c r="H80" s="11"/>
      <c r="I80" s="11"/>
      <c r="J80" s="121"/>
      <c r="K80" s="11"/>
      <c r="L80" s="11"/>
      <c r="M80" s="11"/>
      <c r="N80" s="11"/>
      <c r="O80" s="12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</row>
    <row r="81" spans="1:33">
      <c r="A81" s="11"/>
      <c r="B81" s="11"/>
      <c r="C81" s="11"/>
      <c r="D81" s="11"/>
      <c r="E81" s="11"/>
      <c r="F81" s="11"/>
      <c r="G81" s="11"/>
      <c r="H81" s="11"/>
      <c r="I81" s="11"/>
      <c r="J81" s="121"/>
      <c r="K81" s="11"/>
      <c r="L81" s="11"/>
      <c r="M81" s="11"/>
      <c r="N81" s="11"/>
      <c r="O81" s="12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</row>
    <row r="82" spans="1:33">
      <c r="A82" s="11"/>
      <c r="B82" s="11"/>
      <c r="C82" s="11"/>
      <c r="D82" s="11"/>
      <c r="E82" s="11"/>
      <c r="F82" s="11"/>
      <c r="G82" s="11"/>
      <c r="H82" s="11"/>
      <c r="I82" s="11"/>
      <c r="J82" s="121"/>
      <c r="K82" s="11"/>
      <c r="L82" s="11"/>
      <c r="M82" s="11"/>
      <c r="N82" s="11"/>
      <c r="O82" s="12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</row>
    <row r="83" spans="1:33">
      <c r="J83" s="133"/>
      <c r="O83" s="133"/>
    </row>
    <row r="84" spans="1:33">
      <c r="J84" s="133"/>
      <c r="O84" s="133"/>
    </row>
    <row r="85" spans="1:33">
      <c r="J85" s="133"/>
      <c r="N85" s="133"/>
      <c r="O85" s="133"/>
    </row>
    <row r="86" spans="1:33">
      <c r="J86" s="133"/>
      <c r="K86" s="133"/>
      <c r="L86" s="133"/>
      <c r="M86" s="133"/>
      <c r="N86" s="133"/>
      <c r="O86" s="133"/>
    </row>
    <row r="87" spans="1:33">
      <c r="J87" s="133"/>
      <c r="K87" s="133"/>
      <c r="L87" s="133"/>
      <c r="M87" s="133"/>
      <c r="O87" s="133"/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43"/>
  <sheetViews>
    <sheetView zoomScaleNormal="100" workbookViewId="0">
      <selection activeCell="H21" sqref="H21"/>
    </sheetView>
  </sheetViews>
  <sheetFormatPr defaultRowHeight="15"/>
  <cols>
    <col min="2" max="2" width="10.28515625" customWidth="1"/>
    <col min="3" max="3" width="27.140625" customWidth="1"/>
    <col min="4" max="4" width="19.85546875" customWidth="1"/>
    <col min="5" max="5" width="14.140625" customWidth="1"/>
    <col min="6" max="7" width="13.42578125" customWidth="1"/>
    <col min="8" max="8" width="20" customWidth="1"/>
    <col min="9" max="9" width="30.140625" customWidth="1"/>
    <col min="10" max="10" width="12.7109375" customWidth="1"/>
  </cols>
  <sheetData>
    <row r="1" spans="1:2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30"/>
      <c r="S1" s="11"/>
      <c r="T1" s="11"/>
      <c r="U1" s="11"/>
    </row>
    <row r="2" spans="1:2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30"/>
      <c r="S2" s="11"/>
      <c r="T2" s="11"/>
      <c r="U2" s="11"/>
    </row>
    <row r="3" spans="1:21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30"/>
      <c r="S3" s="11"/>
      <c r="T3" s="11"/>
      <c r="U3" s="11"/>
    </row>
    <row r="4" spans="1:2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30"/>
      <c r="S4" s="11"/>
      <c r="T4" s="11"/>
      <c r="U4" s="11"/>
    </row>
    <row r="5" spans="1:2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30"/>
      <c r="S5" s="11"/>
      <c r="T5" s="11"/>
      <c r="U5" s="11"/>
    </row>
    <row r="6" spans="1:2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30"/>
      <c r="S6" s="11"/>
      <c r="T6" s="11"/>
      <c r="U6" s="11"/>
    </row>
    <row r="7" spans="1:2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30"/>
      <c r="S7" s="11"/>
      <c r="T7" s="11"/>
      <c r="U7" s="11"/>
    </row>
    <row r="8" spans="1:21">
      <c r="A8" s="21"/>
      <c r="B8" s="21"/>
      <c r="C8" s="21"/>
      <c r="D8" s="21"/>
      <c r="E8" s="21"/>
      <c r="F8" s="21"/>
      <c r="G8" s="21"/>
      <c r="H8" s="21"/>
      <c r="I8" s="21"/>
      <c r="J8" s="23"/>
      <c r="K8" s="24"/>
      <c r="L8" s="20"/>
      <c r="M8" s="20"/>
      <c r="N8" s="20"/>
      <c r="O8" s="20"/>
      <c r="P8" s="20"/>
      <c r="Q8" s="20"/>
      <c r="R8" s="30"/>
      <c r="S8" s="11"/>
      <c r="T8" s="11"/>
      <c r="U8" s="11"/>
    </row>
    <row r="9" spans="1:21">
      <c r="A9" s="21"/>
      <c r="B9" s="21"/>
      <c r="C9" s="21"/>
      <c r="D9" s="21"/>
      <c r="E9" s="21"/>
      <c r="F9" s="21"/>
      <c r="G9" s="21"/>
      <c r="H9" s="21"/>
      <c r="I9" s="21"/>
      <c r="J9" s="23"/>
      <c r="K9" s="24"/>
      <c r="L9" s="20"/>
      <c r="M9" s="20"/>
      <c r="N9" s="20"/>
      <c r="O9" s="20"/>
      <c r="P9" s="20"/>
      <c r="Q9" s="20"/>
      <c r="R9" s="30"/>
      <c r="S9" s="11"/>
      <c r="T9" s="11"/>
      <c r="U9" s="11"/>
    </row>
    <row r="10" spans="1:21" ht="21.75" customHeight="1">
      <c r="A10" s="21"/>
      <c r="B10" s="21"/>
      <c r="C10" s="21"/>
      <c r="D10" s="21"/>
      <c r="E10" s="21"/>
      <c r="F10" s="21"/>
      <c r="G10" s="21"/>
      <c r="H10" s="21"/>
      <c r="I10" s="21"/>
      <c r="J10" s="23"/>
      <c r="K10" s="24"/>
      <c r="L10" s="20"/>
      <c r="M10" s="20"/>
      <c r="N10" s="20"/>
      <c r="O10" s="20"/>
      <c r="P10" s="20"/>
      <c r="Q10" s="20"/>
      <c r="R10" s="30"/>
      <c r="S10" s="11"/>
      <c r="T10" s="11"/>
      <c r="U10" s="11"/>
    </row>
    <row r="11" spans="1:21" ht="15" customHeight="1">
      <c r="A11" s="21"/>
      <c r="B11" s="21"/>
      <c r="C11" s="21"/>
      <c r="D11" s="21"/>
      <c r="E11" s="21"/>
      <c r="F11" s="21"/>
      <c r="G11" s="21"/>
      <c r="H11" s="21"/>
      <c r="I11" s="21"/>
      <c r="J11" s="23"/>
      <c r="K11" s="24"/>
      <c r="L11" s="20"/>
      <c r="M11" s="20"/>
      <c r="N11" s="20"/>
      <c r="O11" s="20"/>
      <c r="P11" s="20"/>
      <c r="Q11" s="20"/>
      <c r="R11" s="30"/>
      <c r="S11" s="11"/>
      <c r="T11" s="11"/>
      <c r="U11" s="11"/>
    </row>
    <row r="12" spans="1:21">
      <c r="A12" s="21"/>
      <c r="B12" s="21"/>
      <c r="C12" s="23"/>
      <c r="D12" s="23"/>
      <c r="E12" s="23"/>
      <c r="F12" s="23"/>
      <c r="G12" s="21"/>
      <c r="H12" s="21"/>
      <c r="I12" s="21"/>
      <c r="J12" s="11"/>
      <c r="K12" s="24"/>
      <c r="L12" s="20"/>
      <c r="M12" s="20"/>
      <c r="N12" s="20"/>
      <c r="O12" s="20"/>
      <c r="P12" s="20"/>
      <c r="Q12" s="20"/>
      <c r="R12" s="30"/>
      <c r="S12" s="11"/>
      <c r="T12" s="11"/>
      <c r="U12" s="11"/>
    </row>
    <row r="13" spans="1:21">
      <c r="A13" s="21"/>
      <c r="B13" s="21"/>
      <c r="C13" s="23"/>
      <c r="D13" s="11"/>
      <c r="E13" s="11"/>
      <c r="F13" s="11"/>
      <c r="G13" s="86"/>
      <c r="H13" s="86"/>
      <c r="I13" s="86"/>
      <c r="J13" s="11"/>
      <c r="K13" s="24"/>
      <c r="L13" s="20"/>
      <c r="M13" s="20"/>
      <c r="N13" s="20"/>
      <c r="O13" s="20"/>
      <c r="P13" s="20"/>
      <c r="Q13" s="20"/>
      <c r="R13" s="30"/>
      <c r="S13" s="11"/>
      <c r="T13" s="11"/>
      <c r="U13" s="11"/>
    </row>
    <row r="14" spans="1:21">
      <c r="A14" s="21"/>
      <c r="B14" s="21"/>
      <c r="C14" s="23"/>
      <c r="D14" s="11"/>
      <c r="E14" s="11"/>
      <c r="F14" s="11"/>
      <c r="G14" s="86"/>
      <c r="H14" s="86"/>
      <c r="I14" s="86"/>
      <c r="J14" s="86"/>
      <c r="K14" s="86"/>
      <c r="L14" s="20"/>
      <c r="M14" s="20"/>
      <c r="N14" s="20"/>
      <c r="O14" s="20"/>
      <c r="P14" s="20"/>
      <c r="Q14" s="20"/>
      <c r="R14" s="30"/>
      <c r="S14" s="11"/>
      <c r="T14" s="11"/>
      <c r="U14" s="11"/>
    </row>
    <row r="15" spans="1:21">
      <c r="A15" s="21"/>
      <c r="B15" s="21"/>
      <c r="C15" s="23"/>
      <c r="D15" s="11"/>
      <c r="E15" s="11"/>
      <c r="F15" s="11"/>
      <c r="G15" s="86"/>
      <c r="H15" s="86"/>
      <c r="I15" s="86"/>
      <c r="J15" s="86"/>
      <c r="K15" s="86"/>
      <c r="L15" s="20"/>
      <c r="M15" s="20"/>
      <c r="N15" s="20"/>
      <c r="O15" s="20"/>
      <c r="P15" s="20"/>
      <c r="Q15" s="20"/>
      <c r="R15" s="30"/>
      <c r="S15" s="11"/>
      <c r="T15" s="11"/>
      <c r="U15" s="11"/>
    </row>
    <row r="16" spans="1:21">
      <c r="A16" s="21"/>
      <c r="B16" s="21"/>
      <c r="C16" s="23"/>
      <c r="D16" s="11"/>
      <c r="E16" s="11"/>
      <c r="F16" s="11"/>
      <c r="G16" s="86"/>
      <c r="H16" s="86"/>
      <c r="I16" s="86"/>
      <c r="J16" s="86"/>
      <c r="K16" s="86"/>
      <c r="L16" s="20"/>
      <c r="M16" s="20"/>
      <c r="N16" s="20"/>
      <c r="O16" s="20"/>
      <c r="P16" s="20"/>
      <c r="Q16" s="20"/>
      <c r="R16" s="30"/>
      <c r="S16" s="11"/>
      <c r="T16" s="11"/>
      <c r="U16" s="11"/>
    </row>
    <row r="17" spans="1:21" ht="15.75" thickBot="1">
      <c r="A17" s="21"/>
      <c r="B17" s="21"/>
      <c r="C17" s="23"/>
      <c r="D17" s="11"/>
      <c r="E17" s="11"/>
      <c r="F17" s="86"/>
      <c r="G17" s="86"/>
      <c r="H17" s="86"/>
      <c r="I17" s="86"/>
      <c r="J17" s="86"/>
      <c r="K17" s="86"/>
      <c r="L17" s="20"/>
      <c r="M17" s="20"/>
      <c r="N17" s="20"/>
      <c r="O17" s="20"/>
      <c r="P17" s="20"/>
      <c r="Q17" s="20"/>
      <c r="R17" s="30"/>
      <c r="S17" s="11"/>
      <c r="T17" s="11"/>
      <c r="U17" s="11"/>
    </row>
    <row r="18" spans="1:21" ht="16.5" thickBot="1">
      <c r="A18" s="21"/>
      <c r="B18" s="21"/>
      <c r="C18" s="23"/>
      <c r="D18" s="11"/>
      <c r="E18" s="11"/>
      <c r="F18" s="86"/>
      <c r="G18" s="46"/>
      <c r="H18" s="47" t="s">
        <v>210</v>
      </c>
      <c r="I18" s="47" t="s">
        <v>7</v>
      </c>
      <c r="J18" s="11"/>
      <c r="K18" s="11"/>
      <c r="L18" s="20"/>
      <c r="M18" s="20"/>
      <c r="N18" s="20"/>
      <c r="O18" s="20"/>
      <c r="P18" s="20"/>
      <c r="Q18" s="20"/>
      <c r="R18" s="30"/>
      <c r="S18" s="11"/>
      <c r="T18" s="11"/>
      <c r="U18" s="11"/>
    </row>
    <row r="19" spans="1:21" ht="16.5" thickBot="1">
      <c r="A19" s="21"/>
      <c r="B19" s="21"/>
      <c r="C19" s="23"/>
      <c r="D19" s="11"/>
      <c r="E19" s="11"/>
      <c r="F19" s="86"/>
      <c r="G19" s="47" t="s">
        <v>202</v>
      </c>
      <c r="H19" s="47">
        <v>20</v>
      </c>
      <c r="I19" s="48">
        <v>150</v>
      </c>
      <c r="J19" s="11"/>
      <c r="K19" s="11"/>
      <c r="L19" s="20"/>
      <c r="M19" s="20"/>
      <c r="N19" s="20"/>
      <c r="O19" s="20"/>
      <c r="P19" s="20"/>
      <c r="Q19" s="20"/>
      <c r="R19" s="30"/>
      <c r="S19" s="11"/>
      <c r="T19" s="11"/>
      <c r="U19" s="11"/>
    </row>
    <row r="20" spans="1:21" ht="15" customHeight="1" thickBot="1">
      <c r="A20" s="30"/>
      <c r="B20" s="30"/>
      <c r="C20" s="11"/>
      <c r="D20" s="11"/>
      <c r="E20" s="11"/>
      <c r="F20" s="86"/>
      <c r="G20" s="47" t="s">
        <v>203</v>
      </c>
      <c r="H20" s="47">
        <v>29</v>
      </c>
      <c r="I20" s="48">
        <v>175</v>
      </c>
      <c r="J20" s="11"/>
      <c r="K20" s="11"/>
      <c r="L20" s="20"/>
      <c r="M20" s="20"/>
      <c r="N20" s="20"/>
      <c r="O20" s="20"/>
      <c r="P20" s="20"/>
      <c r="Q20" s="20"/>
      <c r="R20" s="30"/>
      <c r="S20" s="11"/>
      <c r="T20" s="11"/>
      <c r="U20" s="11"/>
    </row>
    <row r="21" spans="1:21" ht="16.5" thickBot="1">
      <c r="A21" s="30"/>
      <c r="B21" s="30"/>
      <c r="C21" s="11"/>
      <c r="D21" s="11"/>
      <c r="E21" s="11"/>
      <c r="F21" s="86"/>
      <c r="G21" s="47" t="s">
        <v>204</v>
      </c>
      <c r="H21" s="47">
        <v>49</v>
      </c>
      <c r="I21" s="48">
        <v>220</v>
      </c>
      <c r="J21" s="11"/>
      <c r="K21" s="11"/>
      <c r="L21" s="20"/>
      <c r="M21" s="20"/>
      <c r="N21" s="30"/>
      <c r="O21" s="30"/>
      <c r="P21" s="30"/>
      <c r="Q21" s="30"/>
      <c r="R21" s="30"/>
      <c r="S21" s="11"/>
      <c r="T21" s="11"/>
      <c r="U21" s="11"/>
    </row>
    <row r="22" spans="1:21">
      <c r="A22" s="30"/>
      <c r="B22" s="30"/>
      <c r="C22" s="30"/>
      <c r="D22" s="86"/>
      <c r="E22" s="86"/>
      <c r="F22" s="86"/>
      <c r="G22" s="86"/>
      <c r="H22" s="86"/>
      <c r="I22" s="11"/>
      <c r="J22" s="11"/>
      <c r="K22" s="11"/>
      <c r="L22" s="20"/>
      <c r="M22" s="20"/>
      <c r="N22" s="30"/>
      <c r="O22" s="30"/>
      <c r="P22" s="30"/>
      <c r="Q22" s="30"/>
      <c r="R22" s="30"/>
      <c r="S22" s="11"/>
      <c r="T22" s="11"/>
      <c r="U22" s="11"/>
    </row>
    <row r="23" spans="1:21">
      <c r="A23" s="11"/>
      <c r="B23" s="11"/>
      <c r="C23" s="11"/>
      <c r="D23" s="11"/>
      <c r="E23" s="11"/>
      <c r="F23" s="101"/>
      <c r="G23" s="86"/>
      <c r="H23" s="86"/>
      <c r="I23" s="11"/>
      <c r="J23" s="11"/>
      <c r="K23" s="11"/>
      <c r="L23" s="20"/>
      <c r="M23" s="20"/>
      <c r="N23" s="30"/>
      <c r="O23" s="30"/>
      <c r="P23" s="30"/>
      <c r="Q23" s="30"/>
      <c r="R23" s="30"/>
      <c r="S23" s="11"/>
      <c r="T23" s="11"/>
      <c r="U23" s="11"/>
    </row>
    <row r="24" spans="1:21">
      <c r="A24" s="11"/>
      <c r="B24" s="11"/>
      <c r="C24" s="11"/>
      <c r="D24" s="11"/>
      <c r="E24" s="11"/>
      <c r="F24" s="11"/>
      <c r="G24" s="86"/>
      <c r="H24" s="86"/>
      <c r="I24" s="11"/>
      <c r="J24" s="11"/>
      <c r="K24" s="11"/>
      <c r="L24" s="20"/>
      <c r="M24" s="20"/>
      <c r="N24" s="30"/>
      <c r="O24" s="30"/>
      <c r="P24" s="30"/>
      <c r="Q24" s="30"/>
      <c r="R24" s="30"/>
      <c r="S24" s="11"/>
      <c r="T24" s="11"/>
      <c r="U24" s="11"/>
    </row>
    <row r="25" spans="1:21">
      <c r="A25" s="11"/>
      <c r="B25" s="11"/>
      <c r="C25" s="11"/>
      <c r="D25" s="11"/>
      <c r="E25" s="11"/>
      <c r="F25" s="11"/>
      <c r="G25" s="86"/>
      <c r="H25" s="86"/>
      <c r="I25" s="11"/>
      <c r="J25" s="11"/>
      <c r="K25" s="11"/>
      <c r="L25" s="20"/>
      <c r="M25" s="20"/>
      <c r="N25" s="30"/>
      <c r="O25" s="30"/>
      <c r="P25" s="30"/>
      <c r="Q25" s="30"/>
      <c r="R25" s="30"/>
      <c r="S25" s="11"/>
      <c r="T25" s="11"/>
      <c r="U25" s="11"/>
    </row>
    <row r="26" spans="1:21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20"/>
      <c r="M26" s="20"/>
      <c r="N26" s="30"/>
      <c r="O26" s="30"/>
      <c r="P26" s="30"/>
      <c r="Q26" s="30"/>
      <c r="R26" s="11"/>
      <c r="S26" s="11"/>
      <c r="T26" s="11"/>
      <c r="U26" s="11"/>
    </row>
    <row r="27" spans="1:21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20"/>
      <c r="M27" s="20"/>
      <c r="N27" s="30"/>
      <c r="O27" s="30"/>
      <c r="P27" s="30"/>
      <c r="Q27" s="30"/>
      <c r="R27" s="11"/>
      <c r="S27" s="11"/>
      <c r="T27" s="11"/>
      <c r="U27" s="11"/>
    </row>
    <row r="28" spans="1:21" ht="25.5" customHeight="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20"/>
      <c r="M28" s="20"/>
      <c r="N28" s="30"/>
      <c r="O28" s="30"/>
      <c r="P28" s="30"/>
      <c r="Q28" s="30"/>
      <c r="R28" s="11"/>
      <c r="S28" s="11"/>
      <c r="T28" s="11"/>
      <c r="U28" s="11"/>
    </row>
    <row r="29" spans="1:21" ht="25.5" customHeight="1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20"/>
      <c r="M29" s="20"/>
      <c r="N29" s="30"/>
      <c r="O29" s="30"/>
      <c r="P29" s="30"/>
      <c r="Q29" s="30"/>
      <c r="R29" s="11"/>
      <c r="S29" s="11"/>
      <c r="T29" s="11"/>
      <c r="U29" s="11"/>
    </row>
    <row r="30" spans="1:21" ht="25.5" customHeight="1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20"/>
      <c r="M30" s="20"/>
      <c r="N30" s="30"/>
      <c r="O30" s="30"/>
      <c r="P30" s="30"/>
      <c r="Q30" s="30"/>
      <c r="R30" s="11"/>
      <c r="S30" s="11"/>
      <c r="T30" s="11"/>
      <c r="U30" s="11"/>
    </row>
    <row r="31" spans="1:21">
      <c r="A31" s="11"/>
      <c r="B31" s="11"/>
      <c r="C31" s="11"/>
      <c r="D31" s="11"/>
      <c r="E31" s="11"/>
      <c r="F31" s="11"/>
      <c r="G31" s="86"/>
      <c r="H31" s="86"/>
      <c r="I31" s="86"/>
      <c r="J31" s="86"/>
      <c r="K31" s="86"/>
      <c r="L31" s="20"/>
      <c r="M31" s="20"/>
      <c r="N31" s="30"/>
      <c r="O31" s="30"/>
      <c r="P31" s="30"/>
      <c r="Q31" s="30"/>
      <c r="R31" s="30"/>
      <c r="S31" s="11"/>
      <c r="T31" s="11"/>
      <c r="U31" s="11"/>
    </row>
    <row r="32" spans="1:21">
      <c r="A32" s="11"/>
      <c r="B32" s="11"/>
      <c r="C32" s="11"/>
      <c r="D32" s="11"/>
      <c r="E32" s="11"/>
      <c r="F32" s="11"/>
      <c r="G32" s="86"/>
      <c r="H32" s="86"/>
      <c r="I32" s="86"/>
      <c r="J32" s="86"/>
      <c r="K32" s="86"/>
      <c r="L32" s="20"/>
      <c r="M32" s="20"/>
      <c r="N32" s="30"/>
      <c r="O32" s="30"/>
      <c r="P32" s="30"/>
      <c r="Q32" s="30"/>
      <c r="R32" s="30"/>
      <c r="S32" s="11"/>
      <c r="T32" s="11"/>
      <c r="U32" s="11"/>
    </row>
    <row r="33" spans="1:21">
      <c r="A33" s="11"/>
      <c r="B33" s="11"/>
      <c r="C33" s="11"/>
      <c r="D33" s="11"/>
      <c r="E33" s="11"/>
      <c r="F33" s="11"/>
      <c r="G33" s="86"/>
      <c r="H33" s="86"/>
      <c r="I33" s="86"/>
      <c r="J33" s="86"/>
      <c r="K33" s="86"/>
      <c r="L33" s="20"/>
      <c r="M33" s="20"/>
      <c r="N33" s="30"/>
      <c r="O33" s="30"/>
      <c r="P33" s="30"/>
      <c r="Q33" s="30"/>
      <c r="R33" s="30"/>
      <c r="S33" s="11"/>
      <c r="T33" s="11"/>
      <c r="U33" s="11"/>
    </row>
    <row r="34" spans="1:21">
      <c r="A34" s="11"/>
      <c r="B34" s="11"/>
      <c r="C34" s="11"/>
      <c r="D34" s="11"/>
      <c r="E34" s="11"/>
      <c r="F34" s="11"/>
      <c r="G34" s="86"/>
      <c r="H34" s="86"/>
      <c r="I34" s="86"/>
      <c r="J34" s="86"/>
      <c r="K34" s="86"/>
      <c r="L34" s="20"/>
      <c r="M34" s="20"/>
      <c r="N34" s="30"/>
      <c r="O34" s="30"/>
      <c r="P34" s="30"/>
      <c r="Q34" s="30"/>
      <c r="R34" s="30"/>
      <c r="S34" s="11"/>
      <c r="T34" s="11"/>
      <c r="U34" s="11"/>
    </row>
    <row r="35" spans="1:21">
      <c r="A35" s="30"/>
      <c r="B35" s="30"/>
      <c r="C35" s="30"/>
      <c r="D35" s="30"/>
      <c r="E35" s="11"/>
      <c r="F35" s="11"/>
      <c r="G35" s="30"/>
      <c r="H35" s="30"/>
      <c r="I35" s="21"/>
      <c r="J35" s="21"/>
      <c r="K35" s="20"/>
      <c r="L35" s="20"/>
      <c r="M35" s="20"/>
      <c r="N35" s="30"/>
      <c r="O35" s="30"/>
      <c r="P35" s="30"/>
      <c r="Q35" s="30"/>
      <c r="R35" s="30"/>
      <c r="S35" s="11"/>
      <c r="T35" s="11"/>
      <c r="U35" s="11"/>
    </row>
    <row r="36" spans="1:21">
      <c r="A36" s="30"/>
      <c r="B36" s="30"/>
      <c r="C36" s="30"/>
      <c r="D36" s="30"/>
      <c r="E36" s="11"/>
      <c r="F36" s="11"/>
      <c r="G36" s="30"/>
      <c r="H36" s="30"/>
      <c r="I36" s="21"/>
      <c r="J36" s="21"/>
      <c r="K36" s="20"/>
      <c r="L36" s="20"/>
      <c r="M36" s="20"/>
      <c r="N36" s="30"/>
      <c r="O36" s="30"/>
      <c r="P36" s="30"/>
      <c r="Q36" s="30"/>
      <c r="R36" s="30"/>
      <c r="S36" s="11"/>
      <c r="T36" s="11"/>
      <c r="U36" s="11"/>
    </row>
    <row r="37" spans="1:21">
      <c r="A37" s="20"/>
      <c r="B37" s="20"/>
      <c r="C37" s="30"/>
      <c r="D37" s="30"/>
      <c r="E37" s="30"/>
      <c r="F37" s="30"/>
      <c r="G37" s="30"/>
      <c r="H37" s="30"/>
      <c r="I37" s="20"/>
      <c r="J37" s="20"/>
      <c r="K37" s="20"/>
      <c r="L37" s="20"/>
      <c r="M37" s="20"/>
      <c r="N37" s="30"/>
      <c r="O37" s="30"/>
      <c r="P37" s="30"/>
      <c r="Q37" s="30"/>
      <c r="R37" s="30"/>
      <c r="S37" s="11"/>
      <c r="T37" s="11"/>
      <c r="U37" s="11"/>
    </row>
    <row r="38" spans="1:21">
      <c r="A38" s="20"/>
      <c r="B38" s="20"/>
      <c r="C38" s="30"/>
      <c r="D38" s="30"/>
      <c r="E38" s="30"/>
      <c r="F38" s="30"/>
      <c r="G38" s="30"/>
      <c r="H38" s="30"/>
      <c r="I38" s="20"/>
      <c r="J38" s="20"/>
      <c r="K38" s="20"/>
      <c r="L38" s="20"/>
      <c r="M38" s="20"/>
      <c r="N38" s="30"/>
      <c r="O38" s="30"/>
      <c r="P38" s="30"/>
      <c r="Q38" s="30"/>
      <c r="R38" s="30"/>
      <c r="S38" s="11"/>
      <c r="T38" s="11"/>
      <c r="U38" s="11"/>
    </row>
    <row r="39" spans="1:21">
      <c r="A39" s="20"/>
      <c r="B39" s="20"/>
      <c r="C39" s="30"/>
      <c r="D39" s="30"/>
      <c r="E39" s="30"/>
      <c r="F39" s="30"/>
      <c r="G39" s="30"/>
      <c r="H39" s="30"/>
      <c r="I39" s="20"/>
      <c r="J39" s="20"/>
      <c r="K39" s="20"/>
      <c r="L39" s="20"/>
      <c r="M39" s="20"/>
      <c r="N39" s="30"/>
      <c r="O39" s="30"/>
      <c r="P39" s="30"/>
      <c r="Q39" s="30"/>
      <c r="R39" s="30"/>
      <c r="S39" s="11"/>
      <c r="T39" s="11"/>
      <c r="U39" s="11"/>
    </row>
    <row r="40" spans="1:21">
      <c r="A40" s="20"/>
      <c r="B40" s="20"/>
      <c r="C40" s="30"/>
      <c r="D40" s="30"/>
      <c r="E40" s="30"/>
      <c r="F40" s="30"/>
      <c r="G40" s="30"/>
      <c r="H40" s="30"/>
      <c r="I40" s="20"/>
      <c r="J40" s="20"/>
      <c r="K40" s="20"/>
      <c r="L40" s="20"/>
      <c r="M40" s="20"/>
      <c r="N40" s="30"/>
      <c r="O40" s="30"/>
      <c r="P40" s="30"/>
      <c r="Q40" s="30"/>
      <c r="R40" s="30"/>
      <c r="S40" s="11"/>
      <c r="T40" s="11"/>
      <c r="U40" s="11"/>
    </row>
    <row r="41" spans="1:21">
      <c r="A41" s="20"/>
      <c r="B41" s="20"/>
      <c r="C41" s="30"/>
      <c r="D41" s="30"/>
      <c r="E41" s="30"/>
      <c r="F41" s="3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30"/>
      <c r="S41" s="11"/>
      <c r="T41" s="11"/>
      <c r="U41" s="11"/>
    </row>
    <row r="42" spans="1:21">
      <c r="A42" s="20"/>
      <c r="B42" s="20"/>
      <c r="C42" s="11"/>
      <c r="D42" s="11"/>
      <c r="E42" s="30"/>
      <c r="F42" s="3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30"/>
      <c r="S42" s="11"/>
      <c r="T42" s="11"/>
      <c r="U42" s="11"/>
    </row>
    <row r="43" spans="1:21">
      <c r="A43" s="20"/>
      <c r="B43" s="20"/>
      <c r="C43" s="11"/>
      <c r="D43" s="11"/>
      <c r="E43" s="30"/>
      <c r="F43" s="3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30"/>
      <c r="S43" s="11"/>
      <c r="T43" s="11"/>
      <c r="U43" s="11"/>
    </row>
  </sheetData>
  <sheetProtection sheet="1" objects="1" scenarios="1"/>
  <dataConsolidate function="countNums">
    <dataRefs count="1">
      <dataRef name="$K$11:$L$24,$M$24,$N$18:$O$24,$N$12:$O$15"/>
    </dataRefs>
  </dataConsolid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riceofCoaches_MainMenu_Click">
                <anchor moveWithCells="1" sizeWithCells="1">
                  <from>
                    <xdr:col>10</xdr:col>
                    <xdr:colOff>161925</xdr:colOff>
                    <xdr:row>2</xdr:row>
                    <xdr:rowOff>9525</xdr:rowOff>
                  </from>
                  <to>
                    <xdr:col>13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0"/>
  <sheetViews>
    <sheetView workbookViewId="0">
      <selection activeCell="K47" sqref="K47"/>
    </sheetView>
  </sheetViews>
  <sheetFormatPr defaultRowHeight="15"/>
  <sheetData>
    <row r="1" spans="1:9">
      <c r="A1" t="s">
        <v>8</v>
      </c>
      <c r="C1">
        <v>0</v>
      </c>
      <c r="F1">
        <v>0</v>
      </c>
      <c r="I1">
        <v>0</v>
      </c>
    </row>
    <row r="2" spans="1:9">
      <c r="A2" t="s">
        <v>9</v>
      </c>
      <c r="C2">
        <v>1</v>
      </c>
      <c r="F2">
        <v>1</v>
      </c>
      <c r="I2">
        <v>1</v>
      </c>
    </row>
    <row r="3" spans="1:9">
      <c r="C3">
        <f>SUM(C2+1)</f>
        <v>2</v>
      </c>
      <c r="F3">
        <f>SUM(F2+1)</f>
        <v>2</v>
      </c>
      <c r="I3">
        <f>SUM(I2+1)</f>
        <v>2</v>
      </c>
    </row>
    <row r="4" spans="1:9">
      <c r="C4">
        <f t="shared" ref="C4:C21" si="0">SUM(C3+1)</f>
        <v>3</v>
      </c>
      <c r="F4">
        <f t="shared" ref="F4:F29" si="1">SUM(F3+1)</f>
        <v>3</v>
      </c>
      <c r="I4">
        <f t="shared" ref="I4:I50" si="2">SUM(I3+1)</f>
        <v>3</v>
      </c>
    </row>
    <row r="5" spans="1:9">
      <c r="C5">
        <f t="shared" si="0"/>
        <v>4</v>
      </c>
      <c r="F5">
        <f t="shared" si="1"/>
        <v>4</v>
      </c>
      <c r="I5">
        <f t="shared" si="2"/>
        <v>4</v>
      </c>
    </row>
    <row r="6" spans="1:9">
      <c r="C6">
        <f t="shared" si="0"/>
        <v>5</v>
      </c>
      <c r="F6">
        <f t="shared" si="1"/>
        <v>5</v>
      </c>
      <c r="I6">
        <f t="shared" si="2"/>
        <v>5</v>
      </c>
    </row>
    <row r="7" spans="1:9">
      <c r="C7">
        <f t="shared" si="0"/>
        <v>6</v>
      </c>
      <c r="F7">
        <f t="shared" si="1"/>
        <v>6</v>
      </c>
      <c r="I7">
        <f t="shared" si="2"/>
        <v>6</v>
      </c>
    </row>
    <row r="8" spans="1:9">
      <c r="C8">
        <f t="shared" si="0"/>
        <v>7</v>
      </c>
      <c r="F8">
        <f t="shared" si="1"/>
        <v>7</v>
      </c>
      <c r="I8">
        <f t="shared" si="2"/>
        <v>7</v>
      </c>
    </row>
    <row r="9" spans="1:9">
      <c r="C9">
        <f t="shared" si="0"/>
        <v>8</v>
      </c>
      <c r="F9">
        <f t="shared" si="1"/>
        <v>8</v>
      </c>
      <c r="I9">
        <f t="shared" si="2"/>
        <v>8</v>
      </c>
    </row>
    <row r="10" spans="1:9">
      <c r="C10">
        <f t="shared" si="0"/>
        <v>9</v>
      </c>
      <c r="F10">
        <f t="shared" si="1"/>
        <v>9</v>
      </c>
      <c r="I10">
        <f t="shared" si="2"/>
        <v>9</v>
      </c>
    </row>
    <row r="11" spans="1:9">
      <c r="C11">
        <f t="shared" si="0"/>
        <v>10</v>
      </c>
      <c r="F11">
        <f t="shared" si="1"/>
        <v>10</v>
      </c>
      <c r="I11">
        <f t="shared" si="2"/>
        <v>10</v>
      </c>
    </row>
    <row r="12" spans="1:9">
      <c r="C12">
        <f t="shared" si="0"/>
        <v>11</v>
      </c>
      <c r="F12">
        <f t="shared" si="1"/>
        <v>11</v>
      </c>
      <c r="I12">
        <f t="shared" si="2"/>
        <v>11</v>
      </c>
    </row>
    <row r="13" spans="1:9">
      <c r="C13">
        <f t="shared" si="0"/>
        <v>12</v>
      </c>
      <c r="F13">
        <f t="shared" si="1"/>
        <v>12</v>
      </c>
      <c r="I13">
        <f t="shared" si="2"/>
        <v>12</v>
      </c>
    </row>
    <row r="14" spans="1:9">
      <c r="C14">
        <f t="shared" si="0"/>
        <v>13</v>
      </c>
      <c r="F14">
        <f t="shared" si="1"/>
        <v>13</v>
      </c>
      <c r="I14">
        <f t="shared" si="2"/>
        <v>13</v>
      </c>
    </row>
    <row r="15" spans="1:9">
      <c r="C15">
        <f t="shared" si="0"/>
        <v>14</v>
      </c>
      <c r="F15">
        <f t="shared" si="1"/>
        <v>14</v>
      </c>
      <c r="I15">
        <f t="shared" si="2"/>
        <v>14</v>
      </c>
    </row>
    <row r="16" spans="1:9">
      <c r="C16">
        <f t="shared" si="0"/>
        <v>15</v>
      </c>
      <c r="F16">
        <f t="shared" si="1"/>
        <v>15</v>
      </c>
      <c r="I16">
        <f t="shared" si="2"/>
        <v>15</v>
      </c>
    </row>
    <row r="17" spans="3:9">
      <c r="C17">
        <f t="shared" si="0"/>
        <v>16</v>
      </c>
      <c r="F17">
        <f t="shared" si="1"/>
        <v>16</v>
      </c>
      <c r="I17">
        <f t="shared" si="2"/>
        <v>16</v>
      </c>
    </row>
    <row r="18" spans="3:9">
      <c r="C18">
        <f t="shared" si="0"/>
        <v>17</v>
      </c>
      <c r="F18">
        <f t="shared" si="1"/>
        <v>17</v>
      </c>
      <c r="I18">
        <f t="shared" si="2"/>
        <v>17</v>
      </c>
    </row>
    <row r="19" spans="3:9">
      <c r="C19">
        <f t="shared" si="0"/>
        <v>18</v>
      </c>
      <c r="F19">
        <f t="shared" si="1"/>
        <v>18</v>
      </c>
      <c r="I19">
        <f t="shared" si="2"/>
        <v>18</v>
      </c>
    </row>
    <row r="20" spans="3:9">
      <c r="C20">
        <f t="shared" si="0"/>
        <v>19</v>
      </c>
      <c r="F20">
        <f t="shared" si="1"/>
        <v>19</v>
      </c>
      <c r="I20">
        <f t="shared" si="2"/>
        <v>19</v>
      </c>
    </row>
    <row r="21" spans="3:9">
      <c r="C21">
        <f t="shared" si="0"/>
        <v>20</v>
      </c>
      <c r="F21">
        <f t="shared" si="1"/>
        <v>20</v>
      </c>
      <c r="I21">
        <f t="shared" si="2"/>
        <v>20</v>
      </c>
    </row>
    <row r="22" spans="3:9">
      <c r="F22">
        <f t="shared" si="1"/>
        <v>21</v>
      </c>
      <c r="I22">
        <f t="shared" si="2"/>
        <v>21</v>
      </c>
    </row>
    <row r="23" spans="3:9">
      <c r="F23">
        <f t="shared" si="1"/>
        <v>22</v>
      </c>
      <c r="I23">
        <f t="shared" si="2"/>
        <v>22</v>
      </c>
    </row>
    <row r="24" spans="3:9">
      <c r="F24">
        <f t="shared" si="1"/>
        <v>23</v>
      </c>
      <c r="I24">
        <f t="shared" si="2"/>
        <v>23</v>
      </c>
    </row>
    <row r="25" spans="3:9">
      <c r="F25">
        <f t="shared" si="1"/>
        <v>24</v>
      </c>
      <c r="I25">
        <f t="shared" si="2"/>
        <v>24</v>
      </c>
    </row>
    <row r="26" spans="3:9">
      <c r="F26">
        <f t="shared" si="1"/>
        <v>25</v>
      </c>
      <c r="I26">
        <f t="shared" si="2"/>
        <v>25</v>
      </c>
    </row>
    <row r="27" spans="3:9">
      <c r="F27">
        <f t="shared" si="1"/>
        <v>26</v>
      </c>
      <c r="I27">
        <f t="shared" si="2"/>
        <v>26</v>
      </c>
    </row>
    <row r="28" spans="3:9">
      <c r="F28">
        <f t="shared" si="1"/>
        <v>27</v>
      </c>
      <c r="I28">
        <f t="shared" si="2"/>
        <v>27</v>
      </c>
    </row>
    <row r="29" spans="3:9">
      <c r="F29">
        <f t="shared" si="1"/>
        <v>28</v>
      </c>
      <c r="I29">
        <f t="shared" si="2"/>
        <v>28</v>
      </c>
    </row>
    <row r="30" spans="3:9">
      <c r="F30">
        <f>SUM(F29+1)</f>
        <v>29</v>
      </c>
      <c r="I30">
        <f t="shared" si="2"/>
        <v>29</v>
      </c>
    </row>
    <row r="31" spans="3:9">
      <c r="I31">
        <f t="shared" si="2"/>
        <v>30</v>
      </c>
    </row>
    <row r="32" spans="3:9">
      <c r="I32">
        <f t="shared" si="2"/>
        <v>31</v>
      </c>
    </row>
    <row r="33" spans="9:9">
      <c r="I33">
        <f t="shared" si="2"/>
        <v>32</v>
      </c>
    </row>
    <row r="34" spans="9:9">
      <c r="I34">
        <f t="shared" si="2"/>
        <v>33</v>
      </c>
    </row>
    <row r="35" spans="9:9">
      <c r="I35">
        <f t="shared" si="2"/>
        <v>34</v>
      </c>
    </row>
    <row r="36" spans="9:9">
      <c r="I36">
        <f t="shared" si="2"/>
        <v>35</v>
      </c>
    </row>
    <row r="37" spans="9:9">
      <c r="I37">
        <f t="shared" si="2"/>
        <v>36</v>
      </c>
    </row>
    <row r="38" spans="9:9">
      <c r="I38">
        <f t="shared" si="2"/>
        <v>37</v>
      </c>
    </row>
    <row r="39" spans="9:9">
      <c r="I39">
        <f t="shared" si="2"/>
        <v>38</v>
      </c>
    </row>
    <row r="40" spans="9:9">
      <c r="I40">
        <f t="shared" si="2"/>
        <v>39</v>
      </c>
    </row>
    <row r="41" spans="9:9">
      <c r="I41">
        <f t="shared" si="2"/>
        <v>40</v>
      </c>
    </row>
    <row r="42" spans="9:9">
      <c r="I42">
        <f t="shared" si="2"/>
        <v>41</v>
      </c>
    </row>
    <row r="43" spans="9:9">
      <c r="I43">
        <f t="shared" si="2"/>
        <v>42</v>
      </c>
    </row>
    <row r="44" spans="9:9">
      <c r="I44">
        <f t="shared" si="2"/>
        <v>43</v>
      </c>
    </row>
    <row r="45" spans="9:9">
      <c r="I45">
        <f t="shared" si="2"/>
        <v>44</v>
      </c>
    </row>
    <row r="46" spans="9:9">
      <c r="I46">
        <f t="shared" si="2"/>
        <v>45</v>
      </c>
    </row>
    <row r="47" spans="9:9">
      <c r="I47">
        <f t="shared" si="2"/>
        <v>46</v>
      </c>
    </row>
    <row r="48" spans="9:9">
      <c r="I48">
        <f t="shared" si="2"/>
        <v>47</v>
      </c>
    </row>
    <row r="49" spans="9:9">
      <c r="I49">
        <f t="shared" si="2"/>
        <v>48</v>
      </c>
    </row>
    <row r="50" spans="9:9">
      <c r="I50">
        <f t="shared" si="2"/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61"/>
  <sheetViews>
    <sheetView tabSelected="1" topLeftCell="A10" zoomScale="90" zoomScaleNormal="90" workbookViewId="0">
      <selection activeCell="G13" sqref="G13"/>
    </sheetView>
  </sheetViews>
  <sheetFormatPr defaultRowHeight="15"/>
  <cols>
    <col min="1" max="1" width="18.5703125" customWidth="1"/>
    <col min="2" max="2" width="34.140625" customWidth="1"/>
    <col min="3" max="3" width="22.140625" customWidth="1"/>
    <col min="4" max="4" width="20.5703125" customWidth="1"/>
    <col min="5" max="5" width="26.28515625" customWidth="1"/>
    <col min="6" max="6" width="19.85546875" customWidth="1"/>
    <col min="7" max="7" width="47.28515625" customWidth="1"/>
    <col min="8" max="8" width="38" customWidth="1"/>
    <col min="9" max="9" width="25" customWidth="1"/>
    <col min="10" max="10" width="23.7109375" customWidth="1"/>
    <col min="11" max="11" width="21.140625" customWidth="1"/>
    <col min="12" max="12" width="23.7109375" customWidth="1"/>
  </cols>
  <sheetData>
    <row r="1" spans="1:14">
      <c r="A1" s="188"/>
      <c r="B1" s="188"/>
      <c r="C1" s="188"/>
      <c r="D1" s="188"/>
      <c r="E1" s="188"/>
      <c r="F1" s="22"/>
      <c r="G1" s="22"/>
      <c r="H1" s="189"/>
      <c r="I1" s="189"/>
      <c r="J1" s="189"/>
      <c r="K1" s="189"/>
      <c r="L1" s="189"/>
      <c r="M1" s="188"/>
      <c r="N1" s="188"/>
    </row>
    <row r="2" spans="1:14">
      <c r="A2" s="188"/>
      <c r="B2" s="188"/>
      <c r="C2" s="188"/>
      <c r="D2" s="188"/>
      <c r="E2" s="188"/>
      <c r="F2" s="22"/>
      <c r="G2" s="22"/>
      <c r="H2" s="189"/>
      <c r="I2" s="189"/>
      <c r="J2" s="189"/>
      <c r="K2" s="189"/>
      <c r="L2" s="189"/>
      <c r="M2" s="188"/>
      <c r="N2" s="188"/>
    </row>
    <row r="3" spans="1:14">
      <c r="A3" s="188"/>
      <c r="B3" s="188"/>
      <c r="C3" s="188"/>
      <c r="D3" s="188"/>
      <c r="E3" s="188"/>
      <c r="F3" s="22"/>
      <c r="G3" s="22"/>
      <c r="H3" s="189"/>
      <c r="I3" s="189"/>
      <c r="J3" s="189"/>
      <c r="K3" s="189"/>
      <c r="L3" s="189"/>
      <c r="M3" s="188"/>
      <c r="N3" s="188"/>
    </row>
    <row r="4" spans="1:14">
      <c r="A4" s="188"/>
      <c r="B4" s="188"/>
      <c r="C4" s="188"/>
      <c r="D4" s="188"/>
      <c r="E4" s="188"/>
      <c r="F4" s="22"/>
      <c r="G4" s="22"/>
      <c r="H4" s="189"/>
      <c r="I4" s="189"/>
      <c r="J4" s="189"/>
      <c r="K4" s="189"/>
      <c r="L4" s="189"/>
      <c r="M4" s="188"/>
      <c r="N4" s="188"/>
    </row>
    <row r="5" spans="1:14">
      <c r="A5" s="188"/>
      <c r="B5" s="188"/>
      <c r="C5" s="188"/>
      <c r="D5" s="188"/>
      <c r="E5" s="188"/>
      <c r="F5" s="22"/>
      <c r="G5" s="22"/>
      <c r="H5" s="189"/>
      <c r="I5" s="189"/>
      <c r="J5" s="189"/>
      <c r="K5" s="189"/>
      <c r="L5" s="189"/>
      <c r="M5" s="188"/>
      <c r="N5" s="188"/>
    </row>
    <row r="6" spans="1:14">
      <c r="A6" s="188"/>
      <c r="B6" s="188"/>
      <c r="C6" s="188"/>
      <c r="D6" s="188"/>
      <c r="E6" s="188"/>
      <c r="F6" s="22"/>
      <c r="G6" s="22"/>
      <c r="H6" s="189"/>
      <c r="I6" s="189"/>
      <c r="J6" s="189"/>
      <c r="K6" s="189"/>
      <c r="L6" s="189"/>
      <c r="M6" s="188"/>
      <c r="N6" s="188"/>
    </row>
    <row r="7" spans="1:14" ht="3.75" customHeight="1">
      <c r="A7" s="188"/>
      <c r="B7" s="188"/>
      <c r="C7" s="188"/>
      <c r="D7" s="188"/>
      <c r="E7" s="188"/>
      <c r="F7" s="22"/>
      <c r="G7" s="22"/>
      <c r="H7" s="189"/>
      <c r="I7" s="189"/>
      <c r="J7" s="189"/>
      <c r="K7" s="189"/>
      <c r="L7" s="189"/>
      <c r="M7" s="188"/>
      <c r="N7" s="188"/>
    </row>
    <row r="8" spans="1:14" ht="10.5" hidden="1" customHeight="1">
      <c r="A8" s="188"/>
      <c r="B8" s="188"/>
      <c r="C8" s="188"/>
      <c r="D8" s="188"/>
      <c r="E8" s="188"/>
      <c r="F8" s="22"/>
      <c r="G8" s="22"/>
      <c r="H8" s="189"/>
      <c r="I8" s="189"/>
      <c r="J8" s="189"/>
      <c r="K8" s="189"/>
      <c r="L8" s="189"/>
      <c r="M8" s="188"/>
      <c r="N8" s="188"/>
    </row>
    <row r="9" spans="1:14" ht="15" hidden="1" customHeight="1">
      <c r="A9" s="188"/>
      <c r="B9" s="188"/>
      <c r="C9" s="188"/>
      <c r="D9" s="188"/>
      <c r="E9" s="188"/>
      <c r="F9" s="22"/>
      <c r="G9" s="22"/>
      <c r="H9" s="189"/>
      <c r="I9" s="189"/>
      <c r="J9" s="189"/>
      <c r="K9" s="189"/>
      <c r="L9" s="189"/>
      <c r="M9" s="188"/>
      <c r="N9" s="188"/>
    </row>
    <row r="10" spans="1:14" ht="69" customHeight="1" thickBot="1">
      <c r="A10" s="49" t="s">
        <v>45</v>
      </c>
      <c r="B10" s="50" t="s">
        <v>0</v>
      </c>
      <c r="C10" s="115" t="s">
        <v>207</v>
      </c>
      <c r="D10" s="114"/>
      <c r="E10" s="119" t="s">
        <v>302</v>
      </c>
      <c r="F10" s="51" t="s">
        <v>208</v>
      </c>
      <c r="G10" s="52" t="s">
        <v>206</v>
      </c>
      <c r="H10" s="95" t="s">
        <v>205</v>
      </c>
      <c r="I10" s="53" t="s">
        <v>37</v>
      </c>
      <c r="J10" s="23"/>
      <c r="K10" s="23"/>
      <c r="L10" s="23"/>
      <c r="M10" s="188"/>
      <c r="N10" s="188"/>
    </row>
    <row r="11" spans="1:14" ht="30" customHeight="1" thickBot="1">
      <c r="A11" s="54" t="s">
        <v>77</v>
      </c>
      <c r="B11" s="66" t="s">
        <v>1</v>
      </c>
      <c r="C11" s="116">
        <v>21</v>
      </c>
      <c r="D11" s="114"/>
      <c r="E11" s="55">
        <v>0</v>
      </c>
      <c r="F11" s="145" t="b">
        <f>IF(AND(E11&gt;0,E11&lt;=20),"Coach 1",IF(AND(E11&gt;21,E11&lt;=29),"Coach 2",IF(AND(E11&gt;30,E11&lt;=49),"Coach 3")))</f>
        <v>0</v>
      </c>
      <c r="G11" s="146" t="b">
        <f>IF(AND(E11&gt;0,E11&lt;=19),"Discount not applicable",IF(AND(E11&gt;20,E11&lt;=49),"Discount Applicable"))</f>
        <v>0</v>
      </c>
      <c r="H11" s="147" t="b">
        <f>IF(E11&gt;20,C11*E11*0.2)</f>
        <v>0</v>
      </c>
      <c r="I11" s="148">
        <f t="shared" ref="I11:I36" si="0">SUM(C11*E11-H11)</f>
        <v>0</v>
      </c>
      <c r="J11" s="23"/>
      <c r="K11" s="23"/>
      <c r="L11" s="23"/>
      <c r="M11" s="188"/>
      <c r="N11" s="188"/>
    </row>
    <row r="12" spans="1:14" ht="30" customHeight="1" thickBot="1">
      <c r="A12" s="54" t="s">
        <v>78</v>
      </c>
      <c r="B12" s="66" t="s">
        <v>5</v>
      </c>
      <c r="C12" s="117">
        <v>31</v>
      </c>
      <c r="D12" s="114"/>
      <c r="E12" s="55">
        <v>1</v>
      </c>
      <c r="F12" s="145" t="str">
        <f t="shared" ref="F12:F36" si="1">IF(AND(E12&gt;0,E12&lt;=20),"Coach 1",IF(AND(E12&gt;21,E12&lt;=29),"Coach 2",IF(AND(E12&gt;30,E12&lt;=49),"Coach 3")))</f>
        <v>Coach 1</v>
      </c>
      <c r="G12" s="146" t="str">
        <f>IF(AND(E12&gt;0,E12&lt;=19),"Discount not applicable",IF(AND(E12&gt;20,E12&lt;=49),"Discount Applicable"))</f>
        <v>Discount not applicable</v>
      </c>
      <c r="H12" s="147" t="b">
        <f t="shared" ref="H12:H36" si="2">IF(E12&gt;20,C12*E12*0.2)</f>
        <v>0</v>
      </c>
      <c r="I12" s="148">
        <f t="shared" si="0"/>
        <v>31</v>
      </c>
      <c r="J12" s="23"/>
      <c r="K12" s="23"/>
      <c r="L12" s="23"/>
      <c r="M12" s="188"/>
      <c r="N12" s="188"/>
    </row>
    <row r="13" spans="1:14" ht="30" customHeight="1" thickBot="1">
      <c r="A13" s="54" t="s">
        <v>80</v>
      </c>
      <c r="B13" s="66" t="s">
        <v>4</v>
      </c>
      <c r="C13" s="117">
        <v>40</v>
      </c>
      <c r="D13" s="114"/>
      <c r="E13" s="55">
        <v>1</v>
      </c>
      <c r="F13" s="145" t="str">
        <f t="shared" si="1"/>
        <v>Coach 1</v>
      </c>
      <c r="G13" s="146" t="str">
        <f t="shared" ref="G13:G36" si="3">IF(AND(E13&gt;0,E13&lt;=19),"Discount not applicable",IF(AND(E13&gt;20,E13&lt;=49),"Discount Applicable"))</f>
        <v>Discount not applicable</v>
      </c>
      <c r="H13" s="147" t="b">
        <f t="shared" si="2"/>
        <v>0</v>
      </c>
      <c r="I13" s="148">
        <f t="shared" si="0"/>
        <v>40</v>
      </c>
      <c r="J13" s="23"/>
      <c r="K13" s="23"/>
      <c r="L13" s="23"/>
      <c r="M13" s="188"/>
      <c r="N13" s="188"/>
    </row>
    <row r="14" spans="1:14" ht="30" customHeight="1" thickBot="1">
      <c r="A14" s="54" t="s">
        <v>81</v>
      </c>
      <c r="B14" s="67" t="s">
        <v>216</v>
      </c>
      <c r="C14" s="118">
        <v>15.85</v>
      </c>
      <c r="D14" s="114"/>
      <c r="E14" s="55">
        <v>1</v>
      </c>
      <c r="F14" s="145" t="str">
        <f t="shared" si="1"/>
        <v>Coach 1</v>
      </c>
      <c r="G14" s="146" t="str">
        <f t="shared" si="3"/>
        <v>Discount not applicable</v>
      </c>
      <c r="H14" s="147" t="b">
        <f t="shared" si="2"/>
        <v>0</v>
      </c>
      <c r="I14" s="148">
        <f t="shared" si="0"/>
        <v>15.85</v>
      </c>
      <c r="J14" s="23"/>
      <c r="K14" s="23"/>
      <c r="L14" s="23"/>
      <c r="M14" s="188"/>
      <c r="N14" s="188"/>
    </row>
    <row r="15" spans="1:14" ht="30" customHeight="1" thickBot="1">
      <c r="A15" s="54" t="s">
        <v>82</v>
      </c>
      <c r="B15" s="67" t="s">
        <v>217</v>
      </c>
      <c r="C15" s="117">
        <v>15.5</v>
      </c>
      <c r="D15" s="114"/>
      <c r="E15" s="55">
        <v>1</v>
      </c>
      <c r="F15" s="145" t="str">
        <f t="shared" si="1"/>
        <v>Coach 1</v>
      </c>
      <c r="G15" s="146" t="str">
        <f t="shared" si="3"/>
        <v>Discount not applicable</v>
      </c>
      <c r="H15" s="147" t="b">
        <f t="shared" si="2"/>
        <v>0</v>
      </c>
      <c r="I15" s="148">
        <f t="shared" si="0"/>
        <v>15.5</v>
      </c>
      <c r="J15" s="23"/>
      <c r="K15" s="23"/>
      <c r="L15" s="23"/>
      <c r="M15" s="188"/>
      <c r="N15" s="188"/>
    </row>
    <row r="16" spans="1:14" ht="30" customHeight="1" thickBot="1">
      <c r="A16" s="54" t="s">
        <v>237</v>
      </c>
      <c r="B16" s="68" t="s">
        <v>218</v>
      </c>
      <c r="C16" s="117">
        <v>41.5</v>
      </c>
      <c r="D16" s="114"/>
      <c r="E16" s="55">
        <v>1</v>
      </c>
      <c r="F16" s="145" t="str">
        <f t="shared" si="1"/>
        <v>Coach 1</v>
      </c>
      <c r="G16" s="146" t="str">
        <f t="shared" si="3"/>
        <v>Discount not applicable</v>
      </c>
      <c r="H16" s="147" t="b">
        <f t="shared" si="2"/>
        <v>0</v>
      </c>
      <c r="I16" s="149">
        <f t="shared" si="0"/>
        <v>41.5</v>
      </c>
      <c r="J16" s="24"/>
      <c r="K16" s="24"/>
      <c r="L16" s="24"/>
      <c r="M16" s="22"/>
      <c r="N16" s="22"/>
    </row>
    <row r="17" spans="1:14" ht="30" customHeight="1" thickBot="1">
      <c r="A17" s="54" t="s">
        <v>238</v>
      </c>
      <c r="B17" s="68" t="s">
        <v>219</v>
      </c>
      <c r="C17" s="117">
        <v>25</v>
      </c>
      <c r="D17" s="114"/>
      <c r="E17" s="55">
        <v>1</v>
      </c>
      <c r="F17" s="145" t="str">
        <f t="shared" si="1"/>
        <v>Coach 1</v>
      </c>
      <c r="G17" s="146" t="str">
        <f t="shared" si="3"/>
        <v>Discount not applicable</v>
      </c>
      <c r="H17" s="147" t="b">
        <f t="shared" si="2"/>
        <v>0</v>
      </c>
      <c r="I17" s="148">
        <f t="shared" si="0"/>
        <v>25</v>
      </c>
      <c r="J17" s="190" t="s">
        <v>325</v>
      </c>
      <c r="K17" s="191"/>
      <c r="L17" s="22"/>
      <c r="M17" s="22"/>
      <c r="N17" s="22"/>
    </row>
    <row r="18" spans="1:14" ht="30" customHeight="1" thickTop="1" thickBot="1">
      <c r="A18" s="54" t="s">
        <v>239</v>
      </c>
      <c r="B18" s="68" t="s">
        <v>220</v>
      </c>
      <c r="C18" s="117">
        <v>20</v>
      </c>
      <c r="D18" s="114"/>
      <c r="E18" s="55">
        <v>1</v>
      </c>
      <c r="F18" s="145" t="str">
        <f t="shared" si="1"/>
        <v>Coach 1</v>
      </c>
      <c r="G18" s="146" t="str">
        <f t="shared" si="3"/>
        <v>Discount not applicable</v>
      </c>
      <c r="H18" s="147" t="b">
        <f t="shared" si="2"/>
        <v>0</v>
      </c>
      <c r="I18" s="150">
        <f t="shared" si="0"/>
        <v>20</v>
      </c>
      <c r="J18" s="125"/>
      <c r="K18" s="126" t="s">
        <v>10</v>
      </c>
      <c r="L18" s="22"/>
      <c r="M18" s="22"/>
      <c r="N18" s="22"/>
    </row>
    <row r="19" spans="1:14" ht="30" customHeight="1" thickTop="1" thickBot="1">
      <c r="A19" s="54" t="s">
        <v>240</v>
      </c>
      <c r="B19" s="68" t="s">
        <v>221</v>
      </c>
      <c r="C19" s="117">
        <v>11.5</v>
      </c>
      <c r="D19" s="114"/>
      <c r="E19" s="55">
        <v>1</v>
      </c>
      <c r="F19" s="145" t="str">
        <f t="shared" si="1"/>
        <v>Coach 1</v>
      </c>
      <c r="G19" s="146" t="str">
        <f t="shared" si="3"/>
        <v>Discount not applicable</v>
      </c>
      <c r="H19" s="147" t="b">
        <f t="shared" si="2"/>
        <v>0</v>
      </c>
      <c r="I19" s="150">
        <f t="shared" si="0"/>
        <v>11.5</v>
      </c>
      <c r="J19" s="127"/>
      <c r="K19" s="126" t="s">
        <v>11</v>
      </c>
      <c r="L19" s="22"/>
      <c r="M19" s="22"/>
      <c r="N19" s="22"/>
    </row>
    <row r="20" spans="1:14" ht="30" customHeight="1" thickTop="1" thickBot="1">
      <c r="A20" s="54" t="s">
        <v>241</v>
      </c>
      <c r="B20" s="69" t="s">
        <v>222</v>
      </c>
      <c r="C20" s="117">
        <v>24.5</v>
      </c>
      <c r="D20" s="114"/>
      <c r="E20" s="55">
        <v>1</v>
      </c>
      <c r="F20" s="145" t="str">
        <f t="shared" si="1"/>
        <v>Coach 1</v>
      </c>
      <c r="G20" s="146" t="str">
        <f t="shared" si="3"/>
        <v>Discount not applicable</v>
      </c>
      <c r="H20" s="147" t="b">
        <f t="shared" si="2"/>
        <v>0</v>
      </c>
      <c r="I20" s="150">
        <f t="shared" si="0"/>
        <v>24.5</v>
      </c>
      <c r="J20" s="128"/>
      <c r="K20" s="126" t="s">
        <v>120</v>
      </c>
      <c r="L20" s="22"/>
      <c r="M20" s="22"/>
      <c r="N20" s="11"/>
    </row>
    <row r="21" spans="1:14" ht="30" customHeight="1" thickTop="1" thickBot="1">
      <c r="A21" s="54" t="s">
        <v>242</v>
      </c>
      <c r="B21" s="69" t="s">
        <v>223</v>
      </c>
      <c r="C21" s="117">
        <v>17.5</v>
      </c>
      <c r="D21" s="114"/>
      <c r="E21" s="55">
        <v>1</v>
      </c>
      <c r="F21" s="145" t="str">
        <f t="shared" si="1"/>
        <v>Coach 1</v>
      </c>
      <c r="G21" s="146" t="str">
        <f t="shared" si="3"/>
        <v>Discount not applicable</v>
      </c>
      <c r="H21" s="147" t="b">
        <f t="shared" si="2"/>
        <v>0</v>
      </c>
      <c r="I21" s="150">
        <f t="shared" si="0"/>
        <v>17.5</v>
      </c>
      <c r="J21" s="129"/>
      <c r="K21" s="126" t="s">
        <v>117</v>
      </c>
      <c r="L21" s="22"/>
      <c r="M21" s="22"/>
      <c r="N21" s="11"/>
    </row>
    <row r="22" spans="1:14" ht="30" customHeight="1" thickTop="1" thickBot="1">
      <c r="A22" s="54" t="s">
        <v>243</v>
      </c>
      <c r="B22" s="69" t="s">
        <v>224</v>
      </c>
      <c r="C22" s="117">
        <v>25</v>
      </c>
      <c r="D22" s="114"/>
      <c r="E22" s="55">
        <v>1</v>
      </c>
      <c r="F22" s="145" t="str">
        <f t="shared" si="1"/>
        <v>Coach 1</v>
      </c>
      <c r="G22" s="146" t="str">
        <f>IF(AND(E22&gt;0,E22&lt;=19),"Discount not applicable",IF(AND(E22&gt;20,E22&lt;=49),"Discount Applicable"))</f>
        <v>Discount not applicable</v>
      </c>
      <c r="H22" s="147" t="b">
        <f t="shared" si="2"/>
        <v>0</v>
      </c>
      <c r="I22" s="150">
        <f t="shared" si="0"/>
        <v>25</v>
      </c>
      <c r="J22" s="130"/>
      <c r="K22" s="126" t="s">
        <v>324</v>
      </c>
      <c r="L22" s="22"/>
      <c r="M22" s="22"/>
      <c r="N22" s="11"/>
    </row>
    <row r="23" spans="1:14" ht="30" customHeight="1" thickTop="1" thickBot="1">
      <c r="A23" s="54" t="s">
        <v>244</v>
      </c>
      <c r="B23" s="69" t="s">
        <v>225</v>
      </c>
      <c r="C23" s="117">
        <v>20</v>
      </c>
      <c r="D23" s="114"/>
      <c r="E23" s="55">
        <v>1</v>
      </c>
      <c r="F23" s="145" t="str">
        <f t="shared" si="1"/>
        <v>Coach 1</v>
      </c>
      <c r="G23" s="146" t="str">
        <f>IF(AND(E23&gt;0,E23&lt;=19),"Discount not applicable",IF(AND(E23&gt;20,E23&lt;=49),"Discount Applicable"))</f>
        <v>Discount not applicable</v>
      </c>
      <c r="H23" s="147" t="b">
        <f t="shared" si="2"/>
        <v>0</v>
      </c>
      <c r="I23" s="150">
        <f t="shared" si="0"/>
        <v>20</v>
      </c>
      <c r="J23" s="131"/>
      <c r="K23" s="126" t="s">
        <v>15</v>
      </c>
      <c r="L23" s="22"/>
      <c r="M23" s="22"/>
      <c r="N23" s="11"/>
    </row>
    <row r="24" spans="1:14" ht="30" customHeight="1" thickTop="1" thickBot="1">
      <c r="A24" s="54" t="s">
        <v>245</v>
      </c>
      <c r="B24" s="69" t="s">
        <v>236</v>
      </c>
      <c r="C24" s="117">
        <v>11.5</v>
      </c>
      <c r="D24" s="114"/>
      <c r="E24" s="55">
        <v>1</v>
      </c>
      <c r="F24" s="145" t="str">
        <f t="shared" si="1"/>
        <v>Coach 1</v>
      </c>
      <c r="G24" s="146" t="str">
        <f t="shared" si="3"/>
        <v>Discount not applicable</v>
      </c>
      <c r="H24" s="147" t="b">
        <f t="shared" si="2"/>
        <v>0</v>
      </c>
      <c r="I24" s="150">
        <f t="shared" si="0"/>
        <v>11.5</v>
      </c>
      <c r="J24" s="127"/>
      <c r="K24" s="126" t="s">
        <v>119</v>
      </c>
      <c r="L24" s="22"/>
      <c r="M24" s="22"/>
      <c r="N24" s="11"/>
    </row>
    <row r="25" spans="1:14" ht="30" customHeight="1" thickTop="1" thickBot="1">
      <c r="A25" s="54" t="s">
        <v>246</v>
      </c>
      <c r="B25" s="70" t="s">
        <v>2</v>
      </c>
      <c r="C25" s="117">
        <v>21</v>
      </c>
      <c r="D25" s="114"/>
      <c r="E25" s="55">
        <v>1</v>
      </c>
      <c r="F25" s="145" t="str">
        <f t="shared" si="1"/>
        <v>Coach 1</v>
      </c>
      <c r="G25" s="146" t="str">
        <f t="shared" si="3"/>
        <v>Discount not applicable</v>
      </c>
      <c r="H25" s="147" t="b">
        <f t="shared" si="2"/>
        <v>0</v>
      </c>
      <c r="I25" s="150">
        <f t="shared" si="0"/>
        <v>21</v>
      </c>
      <c r="J25" s="128"/>
      <c r="K25" s="126" t="s">
        <v>118</v>
      </c>
      <c r="L25" s="22"/>
      <c r="M25" s="22"/>
      <c r="N25" s="11"/>
    </row>
    <row r="26" spans="1:14" ht="30" customHeight="1" thickBot="1">
      <c r="A26" s="54" t="s">
        <v>247</v>
      </c>
      <c r="B26" s="70" t="s">
        <v>3</v>
      </c>
      <c r="C26" s="117">
        <v>26.5</v>
      </c>
      <c r="D26" s="114"/>
      <c r="E26" s="55">
        <v>1</v>
      </c>
      <c r="F26" s="145" t="str">
        <f t="shared" si="1"/>
        <v>Coach 1</v>
      </c>
      <c r="G26" s="146" t="str">
        <f t="shared" si="3"/>
        <v>Discount not applicable</v>
      </c>
      <c r="H26" s="147" t="b">
        <f t="shared" si="2"/>
        <v>0</v>
      </c>
      <c r="I26" s="148">
        <f t="shared" si="0"/>
        <v>26.5</v>
      </c>
      <c r="J26" s="22"/>
      <c r="K26" s="22"/>
      <c r="L26" s="22"/>
      <c r="M26" s="22"/>
      <c r="N26" s="11"/>
    </row>
    <row r="27" spans="1:14" ht="30" customHeight="1" thickBot="1">
      <c r="A27" s="54" t="s">
        <v>248</v>
      </c>
      <c r="B27" s="71" t="s">
        <v>226</v>
      </c>
      <c r="C27" s="117">
        <v>19.5</v>
      </c>
      <c r="D27" s="114"/>
      <c r="E27" s="55">
        <v>1</v>
      </c>
      <c r="F27" s="145" t="str">
        <f t="shared" si="1"/>
        <v>Coach 1</v>
      </c>
      <c r="G27" s="146" t="str">
        <f t="shared" si="3"/>
        <v>Discount not applicable</v>
      </c>
      <c r="H27" s="147" t="b">
        <f t="shared" si="2"/>
        <v>0</v>
      </c>
      <c r="I27" s="148">
        <f t="shared" si="0"/>
        <v>19.5</v>
      </c>
      <c r="J27" s="22"/>
      <c r="K27" s="22"/>
      <c r="L27" s="22"/>
      <c r="M27" s="22"/>
      <c r="N27" s="11"/>
    </row>
    <row r="28" spans="1:14" ht="30" customHeight="1" thickBot="1">
      <c r="A28" s="54" t="s">
        <v>249</v>
      </c>
      <c r="B28" s="72" t="s">
        <v>227</v>
      </c>
      <c r="C28" s="117">
        <v>26.5</v>
      </c>
      <c r="D28" s="114"/>
      <c r="E28" s="55">
        <v>1</v>
      </c>
      <c r="F28" s="145" t="str">
        <f t="shared" si="1"/>
        <v>Coach 1</v>
      </c>
      <c r="G28" s="151" t="str">
        <f t="shared" si="3"/>
        <v>Discount not applicable</v>
      </c>
      <c r="H28" s="147" t="b">
        <f t="shared" si="2"/>
        <v>0</v>
      </c>
      <c r="I28" s="148">
        <f t="shared" si="0"/>
        <v>26.5</v>
      </c>
      <c r="J28" s="22"/>
      <c r="K28" s="22"/>
      <c r="L28" s="22"/>
      <c r="M28" s="22"/>
      <c r="N28" s="19"/>
    </row>
    <row r="29" spans="1:14" ht="30" customHeight="1" thickBot="1">
      <c r="A29" s="54" t="s">
        <v>250</v>
      </c>
      <c r="B29" s="72" t="s">
        <v>228</v>
      </c>
      <c r="C29" s="117">
        <v>27.5</v>
      </c>
      <c r="D29" s="114"/>
      <c r="E29" s="55">
        <v>1</v>
      </c>
      <c r="F29" s="145" t="str">
        <f t="shared" si="1"/>
        <v>Coach 1</v>
      </c>
      <c r="G29" s="151" t="str">
        <f t="shared" si="3"/>
        <v>Discount not applicable</v>
      </c>
      <c r="H29" s="147" t="b">
        <f t="shared" si="2"/>
        <v>0</v>
      </c>
      <c r="I29" s="148">
        <f t="shared" si="0"/>
        <v>27.5</v>
      </c>
      <c r="J29" s="22"/>
      <c r="K29" s="22"/>
      <c r="L29" s="22"/>
      <c r="M29" s="22"/>
      <c r="N29" s="11"/>
    </row>
    <row r="30" spans="1:14" ht="30" customHeight="1" thickBot="1">
      <c r="A30" s="54" t="s">
        <v>251</v>
      </c>
      <c r="B30" s="72" t="s">
        <v>229</v>
      </c>
      <c r="C30" s="117">
        <v>30.5</v>
      </c>
      <c r="D30" s="114"/>
      <c r="E30" s="55">
        <v>1</v>
      </c>
      <c r="F30" s="145" t="str">
        <f t="shared" si="1"/>
        <v>Coach 1</v>
      </c>
      <c r="G30" s="151" t="str">
        <f t="shared" si="3"/>
        <v>Discount not applicable</v>
      </c>
      <c r="H30" s="147" t="b">
        <f t="shared" si="2"/>
        <v>0</v>
      </c>
      <c r="I30" s="148">
        <f t="shared" si="0"/>
        <v>30.5</v>
      </c>
      <c r="J30" s="22"/>
      <c r="K30" s="22"/>
      <c r="L30" s="22"/>
      <c r="M30" s="22"/>
      <c r="N30" s="11"/>
    </row>
    <row r="31" spans="1:14" ht="30" customHeight="1" thickBot="1">
      <c r="A31" s="54" t="s">
        <v>252</v>
      </c>
      <c r="B31" s="72" t="s">
        <v>230</v>
      </c>
      <c r="C31" s="117">
        <v>21</v>
      </c>
      <c r="D31" s="114"/>
      <c r="E31" s="55">
        <v>1</v>
      </c>
      <c r="F31" s="145" t="str">
        <f t="shared" si="1"/>
        <v>Coach 1</v>
      </c>
      <c r="G31" s="151" t="str">
        <f t="shared" si="3"/>
        <v>Discount not applicable</v>
      </c>
      <c r="H31" s="147" t="b">
        <f t="shared" si="2"/>
        <v>0</v>
      </c>
      <c r="I31" s="148">
        <f t="shared" si="0"/>
        <v>21</v>
      </c>
      <c r="J31" s="22"/>
      <c r="K31" s="22"/>
      <c r="L31" s="22"/>
      <c r="M31" s="22"/>
      <c r="N31" s="11"/>
    </row>
    <row r="32" spans="1:14" ht="30" customHeight="1" thickBot="1">
      <c r="A32" s="54" t="s">
        <v>253</v>
      </c>
      <c r="B32" s="73" t="s">
        <v>231</v>
      </c>
      <c r="C32" s="117">
        <v>35</v>
      </c>
      <c r="D32" s="114"/>
      <c r="E32" s="55">
        <v>1</v>
      </c>
      <c r="F32" s="145" t="str">
        <f t="shared" si="1"/>
        <v>Coach 1</v>
      </c>
      <c r="G32" s="151" t="str">
        <f t="shared" si="3"/>
        <v>Discount not applicable</v>
      </c>
      <c r="H32" s="147" t="b">
        <f t="shared" si="2"/>
        <v>0</v>
      </c>
      <c r="I32" s="148">
        <f t="shared" si="0"/>
        <v>35</v>
      </c>
      <c r="J32" s="22"/>
      <c r="K32" s="22"/>
      <c r="L32" s="22"/>
      <c r="M32" s="22"/>
      <c r="N32" s="11"/>
    </row>
    <row r="33" spans="1:14" ht="30" customHeight="1" thickBot="1">
      <c r="A33" s="54" t="s">
        <v>254</v>
      </c>
      <c r="B33" s="73" t="s">
        <v>232</v>
      </c>
      <c r="C33" s="117">
        <v>25.1</v>
      </c>
      <c r="D33" s="114"/>
      <c r="E33" s="55">
        <v>1</v>
      </c>
      <c r="F33" s="145" t="str">
        <f t="shared" si="1"/>
        <v>Coach 1</v>
      </c>
      <c r="G33" s="151" t="str">
        <f t="shared" si="3"/>
        <v>Discount not applicable</v>
      </c>
      <c r="H33" s="147" t="b">
        <f t="shared" si="2"/>
        <v>0</v>
      </c>
      <c r="I33" s="148">
        <f t="shared" si="0"/>
        <v>25.1</v>
      </c>
      <c r="J33" s="22"/>
      <c r="K33" s="22"/>
      <c r="L33" s="22"/>
      <c r="M33" s="22"/>
      <c r="N33" s="11"/>
    </row>
    <row r="34" spans="1:14" ht="30" customHeight="1" thickBot="1">
      <c r="A34" s="54" t="s">
        <v>255</v>
      </c>
      <c r="B34" s="74" t="s">
        <v>233</v>
      </c>
      <c r="C34" s="117">
        <v>21</v>
      </c>
      <c r="D34" s="114"/>
      <c r="E34" s="55">
        <v>1</v>
      </c>
      <c r="F34" s="145" t="str">
        <f t="shared" si="1"/>
        <v>Coach 1</v>
      </c>
      <c r="G34" s="151" t="str">
        <f t="shared" si="3"/>
        <v>Discount not applicable</v>
      </c>
      <c r="H34" s="147" t="b">
        <f t="shared" si="2"/>
        <v>0</v>
      </c>
      <c r="I34" s="148">
        <f t="shared" si="0"/>
        <v>21</v>
      </c>
      <c r="J34" s="22"/>
      <c r="K34" s="22"/>
      <c r="L34" s="22"/>
      <c r="M34" s="22"/>
      <c r="N34" s="11"/>
    </row>
    <row r="35" spans="1:14" ht="30" customHeight="1" thickBot="1">
      <c r="A35" s="54" t="s">
        <v>256</v>
      </c>
      <c r="B35" s="74" t="s">
        <v>234</v>
      </c>
      <c r="C35" s="117">
        <v>23</v>
      </c>
      <c r="D35" s="114"/>
      <c r="E35" s="55">
        <v>1</v>
      </c>
      <c r="F35" s="145" t="str">
        <f t="shared" si="1"/>
        <v>Coach 1</v>
      </c>
      <c r="G35" s="151" t="str">
        <f t="shared" si="3"/>
        <v>Discount not applicable</v>
      </c>
      <c r="H35" s="147" t="b">
        <f t="shared" si="2"/>
        <v>0</v>
      </c>
      <c r="I35" s="148">
        <f t="shared" si="0"/>
        <v>23</v>
      </c>
      <c r="J35" s="22"/>
      <c r="K35" s="22"/>
      <c r="L35" s="22"/>
      <c r="M35" s="22"/>
      <c r="N35" s="11"/>
    </row>
    <row r="36" spans="1:14" ht="30" customHeight="1" thickBot="1">
      <c r="A36" s="54" t="s">
        <v>257</v>
      </c>
      <c r="B36" s="74" t="s">
        <v>235</v>
      </c>
      <c r="C36" s="117">
        <v>17.5</v>
      </c>
      <c r="D36" s="114"/>
      <c r="E36" s="55">
        <v>1</v>
      </c>
      <c r="F36" s="145" t="str">
        <f t="shared" si="1"/>
        <v>Coach 1</v>
      </c>
      <c r="G36" s="151" t="str">
        <f t="shared" si="3"/>
        <v>Discount not applicable</v>
      </c>
      <c r="H36" s="147" t="b">
        <f t="shared" si="2"/>
        <v>0</v>
      </c>
      <c r="I36" s="148">
        <f t="shared" si="0"/>
        <v>17.5</v>
      </c>
      <c r="J36" s="22"/>
      <c r="K36" s="22"/>
      <c r="L36" s="22"/>
      <c r="M36" s="22"/>
      <c r="N36" s="11"/>
    </row>
    <row r="37" spans="1:14" ht="15.75">
      <c r="A37" s="56"/>
      <c r="B37" s="56"/>
      <c r="C37" s="56"/>
      <c r="D37" s="120"/>
      <c r="E37" s="56"/>
      <c r="F37" s="56"/>
      <c r="G37" s="56"/>
      <c r="H37" s="56"/>
      <c r="I37" s="57"/>
      <c r="J37" s="22"/>
      <c r="K37" s="22"/>
      <c r="L37" s="22"/>
      <c r="M37" s="22"/>
      <c r="N37" s="11"/>
    </row>
    <row r="38" spans="1:14" ht="69.75" customHeight="1" thickBot="1">
      <c r="A38" s="49" t="s">
        <v>45</v>
      </c>
      <c r="B38" s="50" t="s">
        <v>0</v>
      </c>
      <c r="C38" s="115" t="s">
        <v>207</v>
      </c>
      <c r="D38" s="114"/>
      <c r="E38" s="119" t="s">
        <v>36</v>
      </c>
      <c r="F38" s="152" t="s">
        <v>208</v>
      </c>
      <c r="G38" s="153" t="s">
        <v>200</v>
      </c>
      <c r="H38" s="154" t="s">
        <v>37</v>
      </c>
      <c r="I38" s="58"/>
      <c r="J38" s="22"/>
      <c r="K38" s="22"/>
      <c r="L38" s="22"/>
      <c r="M38" s="22"/>
      <c r="N38" s="11"/>
    </row>
    <row r="39" spans="1:14" ht="30" customHeight="1" thickBot="1">
      <c r="A39" s="54" t="s">
        <v>77</v>
      </c>
      <c r="B39" s="66" t="s">
        <v>1</v>
      </c>
      <c r="C39" s="116">
        <v>21</v>
      </c>
      <c r="D39" s="114"/>
      <c r="E39" s="55">
        <v>1</v>
      </c>
      <c r="F39" s="145" t="str">
        <f>IF(AND(E39&gt;0,E39&lt;=20),"Coach 1",IF(AND(E39&gt;21,E39&lt;=29),"Coach 2",IF(AND(E39&gt;30,E39&lt;=49),"Coach 3")))</f>
        <v>Coach 1</v>
      </c>
      <c r="G39" s="155">
        <f t="shared" ref="G39:G64" si="4">SUM(C39*E39-H39)</f>
        <v>2.0999999999999979</v>
      </c>
      <c r="H39" s="148">
        <f t="shared" ref="H39:H64" si="5">SUM(C39*E39*0.9)</f>
        <v>18.900000000000002</v>
      </c>
      <c r="I39" s="56"/>
      <c r="J39" s="22"/>
      <c r="K39" s="22"/>
      <c r="L39" s="22"/>
      <c r="M39" s="22"/>
      <c r="N39" s="11"/>
    </row>
    <row r="40" spans="1:14" ht="30" customHeight="1" thickBot="1">
      <c r="A40" s="54" t="s">
        <v>78</v>
      </c>
      <c r="B40" s="66" t="s">
        <v>5</v>
      </c>
      <c r="C40" s="117">
        <v>31</v>
      </c>
      <c r="D40" s="114"/>
      <c r="E40" s="55">
        <v>1</v>
      </c>
      <c r="F40" s="145" t="str">
        <f t="shared" ref="F40:F64" si="6">IF(AND(E40&gt;0,E40&lt;=20),"Coach 1",IF(AND(E40&gt;21,E40&lt;=29),"Coach 2",IF(AND(E40&gt;30,E40&lt;=49),"Coach 3")))</f>
        <v>Coach 1</v>
      </c>
      <c r="G40" s="155">
        <f t="shared" si="4"/>
        <v>3.0999999999999979</v>
      </c>
      <c r="H40" s="148">
        <f t="shared" si="5"/>
        <v>27.900000000000002</v>
      </c>
      <c r="I40" s="56"/>
      <c r="J40" s="22"/>
      <c r="K40" s="22"/>
      <c r="L40" s="22"/>
      <c r="M40" s="22"/>
      <c r="N40" s="11"/>
    </row>
    <row r="41" spans="1:14" ht="30" customHeight="1" thickBot="1">
      <c r="A41" s="54" t="s">
        <v>80</v>
      </c>
      <c r="B41" s="66" t="s">
        <v>4</v>
      </c>
      <c r="C41" s="117">
        <v>40</v>
      </c>
      <c r="D41" s="114"/>
      <c r="E41" s="55">
        <v>1</v>
      </c>
      <c r="F41" s="145" t="str">
        <f t="shared" si="6"/>
        <v>Coach 1</v>
      </c>
      <c r="G41" s="155">
        <f t="shared" si="4"/>
        <v>4</v>
      </c>
      <c r="H41" s="148">
        <f t="shared" si="5"/>
        <v>36</v>
      </c>
      <c r="I41" s="56"/>
      <c r="J41" s="22"/>
      <c r="K41" s="22"/>
      <c r="L41" s="22"/>
      <c r="M41" s="22"/>
      <c r="N41" s="11"/>
    </row>
    <row r="42" spans="1:14" ht="30" customHeight="1" thickBot="1">
      <c r="A42" s="54" t="s">
        <v>81</v>
      </c>
      <c r="B42" s="67" t="s">
        <v>216</v>
      </c>
      <c r="C42" s="118">
        <v>15.85</v>
      </c>
      <c r="D42" s="114"/>
      <c r="E42" s="55">
        <v>1</v>
      </c>
      <c r="F42" s="145" t="str">
        <f t="shared" si="6"/>
        <v>Coach 1</v>
      </c>
      <c r="G42" s="155">
        <f t="shared" si="4"/>
        <v>1.5849999999999991</v>
      </c>
      <c r="H42" s="148">
        <f t="shared" si="5"/>
        <v>14.265000000000001</v>
      </c>
      <c r="I42" s="56"/>
      <c r="J42" s="22"/>
      <c r="K42" s="22"/>
      <c r="L42" s="22"/>
      <c r="M42" s="22"/>
      <c r="N42" s="11"/>
    </row>
    <row r="43" spans="1:14" ht="30" customHeight="1" thickBot="1">
      <c r="A43" s="54" t="s">
        <v>82</v>
      </c>
      <c r="B43" s="67" t="s">
        <v>217</v>
      </c>
      <c r="C43" s="117">
        <v>15.5</v>
      </c>
      <c r="D43" s="114"/>
      <c r="E43" s="55">
        <v>1</v>
      </c>
      <c r="F43" s="145" t="str">
        <f t="shared" si="6"/>
        <v>Coach 1</v>
      </c>
      <c r="G43" s="155">
        <f t="shared" si="4"/>
        <v>1.5499999999999989</v>
      </c>
      <c r="H43" s="148">
        <f t="shared" si="5"/>
        <v>13.950000000000001</v>
      </c>
      <c r="I43" s="56"/>
      <c r="J43" s="22"/>
      <c r="K43" s="22"/>
      <c r="L43" s="22"/>
      <c r="M43" s="22"/>
      <c r="N43" s="11"/>
    </row>
    <row r="44" spans="1:14" ht="30" customHeight="1" thickBot="1">
      <c r="A44" s="54" t="s">
        <v>237</v>
      </c>
      <c r="B44" s="68" t="s">
        <v>218</v>
      </c>
      <c r="C44" s="117">
        <v>41.5</v>
      </c>
      <c r="D44" s="114"/>
      <c r="E44" s="55">
        <v>1</v>
      </c>
      <c r="F44" s="145" t="str">
        <f t="shared" si="6"/>
        <v>Coach 1</v>
      </c>
      <c r="G44" s="155">
        <f t="shared" si="4"/>
        <v>4.1499999999999986</v>
      </c>
      <c r="H44" s="148">
        <f t="shared" si="5"/>
        <v>37.35</v>
      </c>
      <c r="I44" s="56"/>
      <c r="J44" s="22"/>
      <c r="K44" s="22"/>
      <c r="L44" s="22"/>
      <c r="M44" s="22"/>
      <c r="N44" s="11"/>
    </row>
    <row r="45" spans="1:14" ht="30" customHeight="1" thickBot="1">
      <c r="A45" s="54" t="s">
        <v>238</v>
      </c>
      <c r="B45" s="68" t="s">
        <v>219</v>
      </c>
      <c r="C45" s="117">
        <v>25</v>
      </c>
      <c r="D45" s="114"/>
      <c r="E45" s="55">
        <v>1</v>
      </c>
      <c r="F45" s="145" t="str">
        <f t="shared" si="6"/>
        <v>Coach 1</v>
      </c>
      <c r="G45" s="155">
        <f t="shared" si="4"/>
        <v>2.5</v>
      </c>
      <c r="H45" s="148">
        <f t="shared" si="5"/>
        <v>22.5</v>
      </c>
      <c r="I45" s="56"/>
      <c r="J45" s="22"/>
      <c r="K45" s="22"/>
      <c r="L45" s="22"/>
      <c r="M45" s="22"/>
      <c r="N45" s="11"/>
    </row>
    <row r="46" spans="1:14" ht="30" customHeight="1" thickBot="1">
      <c r="A46" s="54" t="s">
        <v>239</v>
      </c>
      <c r="B46" s="68" t="s">
        <v>220</v>
      </c>
      <c r="C46" s="117">
        <v>20</v>
      </c>
      <c r="D46" s="114"/>
      <c r="E46" s="55">
        <v>1</v>
      </c>
      <c r="F46" s="145" t="str">
        <f t="shared" si="6"/>
        <v>Coach 1</v>
      </c>
      <c r="G46" s="155">
        <f t="shared" si="4"/>
        <v>2</v>
      </c>
      <c r="H46" s="148">
        <f t="shared" si="5"/>
        <v>18</v>
      </c>
      <c r="I46" s="56"/>
      <c r="J46" s="23"/>
      <c r="K46" s="23"/>
      <c r="L46" s="23"/>
      <c r="M46" s="23"/>
      <c r="N46" s="23"/>
    </row>
    <row r="47" spans="1:14" ht="30" customHeight="1" thickBot="1">
      <c r="A47" s="54" t="s">
        <v>240</v>
      </c>
      <c r="B47" s="68" t="s">
        <v>221</v>
      </c>
      <c r="C47" s="117">
        <v>11.5</v>
      </c>
      <c r="D47" s="114"/>
      <c r="E47" s="55">
        <v>1</v>
      </c>
      <c r="F47" s="145" t="str">
        <f t="shared" si="6"/>
        <v>Coach 1</v>
      </c>
      <c r="G47" s="155">
        <f t="shared" si="4"/>
        <v>1.1500000000000004</v>
      </c>
      <c r="H47" s="148">
        <f t="shared" si="5"/>
        <v>10.35</v>
      </c>
      <c r="I47" s="56"/>
      <c r="J47" s="23"/>
      <c r="K47" s="23"/>
      <c r="L47" s="23"/>
      <c r="M47" s="23"/>
      <c r="N47" s="23"/>
    </row>
    <row r="48" spans="1:14" ht="30" customHeight="1" thickBot="1">
      <c r="A48" s="54" t="s">
        <v>241</v>
      </c>
      <c r="B48" s="69" t="s">
        <v>222</v>
      </c>
      <c r="C48" s="117">
        <v>24.5</v>
      </c>
      <c r="D48" s="114"/>
      <c r="E48" s="55">
        <v>1</v>
      </c>
      <c r="F48" s="145" t="str">
        <f t="shared" si="6"/>
        <v>Coach 1</v>
      </c>
      <c r="G48" s="155">
        <f t="shared" si="4"/>
        <v>2.4499999999999993</v>
      </c>
      <c r="H48" s="148">
        <f t="shared" si="5"/>
        <v>22.05</v>
      </c>
      <c r="I48" s="56"/>
      <c r="J48" s="23"/>
      <c r="K48" s="23"/>
      <c r="L48" s="23"/>
      <c r="M48" s="23"/>
      <c r="N48" s="23"/>
    </row>
    <row r="49" spans="1:14" ht="30" customHeight="1" thickBot="1">
      <c r="A49" s="54" t="s">
        <v>242</v>
      </c>
      <c r="B49" s="69" t="s">
        <v>223</v>
      </c>
      <c r="C49" s="117">
        <v>17.5</v>
      </c>
      <c r="D49" s="114"/>
      <c r="E49" s="55">
        <v>1</v>
      </c>
      <c r="F49" s="145" t="str">
        <f t="shared" si="6"/>
        <v>Coach 1</v>
      </c>
      <c r="G49" s="155">
        <f t="shared" si="4"/>
        <v>1.75</v>
      </c>
      <c r="H49" s="148">
        <f t="shared" si="5"/>
        <v>15.75</v>
      </c>
      <c r="I49" s="56"/>
      <c r="J49" s="23"/>
      <c r="K49" s="23"/>
      <c r="L49" s="23"/>
      <c r="M49" s="23"/>
      <c r="N49" s="23"/>
    </row>
    <row r="50" spans="1:14" ht="30" customHeight="1" thickBot="1">
      <c r="A50" s="54" t="s">
        <v>243</v>
      </c>
      <c r="B50" s="69" t="s">
        <v>224</v>
      </c>
      <c r="C50" s="117">
        <v>25</v>
      </c>
      <c r="D50" s="114"/>
      <c r="E50" s="55">
        <v>1</v>
      </c>
      <c r="F50" s="145" t="str">
        <f t="shared" si="6"/>
        <v>Coach 1</v>
      </c>
      <c r="G50" s="155">
        <f t="shared" si="4"/>
        <v>2.5</v>
      </c>
      <c r="H50" s="148">
        <f t="shared" si="5"/>
        <v>22.5</v>
      </c>
      <c r="I50" s="56"/>
      <c r="J50" s="23"/>
      <c r="K50" s="23"/>
      <c r="L50" s="23"/>
      <c r="M50" s="23"/>
      <c r="N50" s="23"/>
    </row>
    <row r="51" spans="1:14" ht="30" customHeight="1" thickBot="1">
      <c r="A51" s="54" t="s">
        <v>244</v>
      </c>
      <c r="B51" s="69" t="s">
        <v>225</v>
      </c>
      <c r="C51" s="117">
        <v>20</v>
      </c>
      <c r="D51" s="114"/>
      <c r="E51" s="55">
        <v>1</v>
      </c>
      <c r="F51" s="145" t="str">
        <f t="shared" si="6"/>
        <v>Coach 1</v>
      </c>
      <c r="G51" s="155">
        <f t="shared" si="4"/>
        <v>2</v>
      </c>
      <c r="H51" s="148">
        <f t="shared" si="5"/>
        <v>18</v>
      </c>
      <c r="I51" s="56"/>
      <c r="J51" s="23"/>
      <c r="K51" s="23"/>
      <c r="L51" s="23"/>
      <c r="M51" s="23"/>
      <c r="N51" s="23"/>
    </row>
    <row r="52" spans="1:14" ht="30" customHeight="1" thickBot="1">
      <c r="A52" s="54" t="s">
        <v>245</v>
      </c>
      <c r="B52" s="69" t="s">
        <v>236</v>
      </c>
      <c r="C52" s="117">
        <v>11.5</v>
      </c>
      <c r="D52" s="114"/>
      <c r="E52" s="55">
        <v>1</v>
      </c>
      <c r="F52" s="145" t="str">
        <f t="shared" si="6"/>
        <v>Coach 1</v>
      </c>
      <c r="G52" s="155">
        <f t="shared" si="4"/>
        <v>1.1500000000000004</v>
      </c>
      <c r="H52" s="148">
        <f t="shared" si="5"/>
        <v>10.35</v>
      </c>
      <c r="I52" s="56"/>
      <c r="J52" s="23"/>
      <c r="K52" s="23"/>
      <c r="L52" s="23"/>
      <c r="M52" s="23"/>
      <c r="N52" s="23"/>
    </row>
    <row r="53" spans="1:14" ht="30" customHeight="1" thickBot="1">
      <c r="A53" s="54" t="s">
        <v>246</v>
      </c>
      <c r="B53" s="70" t="s">
        <v>2</v>
      </c>
      <c r="C53" s="117">
        <v>21</v>
      </c>
      <c r="D53" s="114"/>
      <c r="E53" s="55">
        <v>1</v>
      </c>
      <c r="F53" s="145" t="str">
        <f t="shared" si="6"/>
        <v>Coach 1</v>
      </c>
      <c r="G53" s="155">
        <f t="shared" si="4"/>
        <v>2.0999999999999979</v>
      </c>
      <c r="H53" s="148">
        <f t="shared" si="5"/>
        <v>18.900000000000002</v>
      </c>
      <c r="I53" s="56"/>
      <c r="J53" s="23"/>
      <c r="K53" s="23"/>
      <c r="L53" s="23"/>
      <c r="M53" s="23"/>
      <c r="N53" s="23"/>
    </row>
    <row r="54" spans="1:14" ht="30" customHeight="1" thickBot="1">
      <c r="A54" s="54" t="s">
        <v>247</v>
      </c>
      <c r="B54" s="70" t="s">
        <v>3</v>
      </c>
      <c r="C54" s="117">
        <v>26.5</v>
      </c>
      <c r="D54" s="114"/>
      <c r="E54" s="55">
        <v>1</v>
      </c>
      <c r="F54" s="145" t="str">
        <f t="shared" si="6"/>
        <v>Coach 1</v>
      </c>
      <c r="G54" s="155">
        <f t="shared" si="4"/>
        <v>2.6499999999999986</v>
      </c>
      <c r="H54" s="148">
        <f t="shared" si="5"/>
        <v>23.85</v>
      </c>
      <c r="I54" s="56"/>
      <c r="J54" s="23"/>
      <c r="K54" s="23"/>
      <c r="L54" s="23"/>
      <c r="M54" s="23"/>
      <c r="N54" s="23"/>
    </row>
    <row r="55" spans="1:14" ht="30" customHeight="1" thickBot="1">
      <c r="A55" s="54" t="s">
        <v>248</v>
      </c>
      <c r="B55" s="71" t="s">
        <v>226</v>
      </c>
      <c r="C55" s="117">
        <v>19.5</v>
      </c>
      <c r="D55" s="114"/>
      <c r="E55" s="55">
        <v>1</v>
      </c>
      <c r="F55" s="145" t="str">
        <f t="shared" si="6"/>
        <v>Coach 1</v>
      </c>
      <c r="G55" s="155">
        <f t="shared" si="4"/>
        <v>1.9499999999999993</v>
      </c>
      <c r="H55" s="148">
        <f t="shared" si="5"/>
        <v>17.55</v>
      </c>
      <c r="I55" s="56"/>
      <c r="J55" s="23"/>
      <c r="K55" s="23"/>
      <c r="L55" s="23"/>
      <c r="M55" s="23"/>
      <c r="N55" s="23"/>
    </row>
    <row r="56" spans="1:14" ht="30" customHeight="1" thickBot="1">
      <c r="A56" s="54" t="s">
        <v>249</v>
      </c>
      <c r="B56" s="72" t="s">
        <v>227</v>
      </c>
      <c r="C56" s="117">
        <v>26.5</v>
      </c>
      <c r="D56" s="114"/>
      <c r="E56" s="55">
        <v>1</v>
      </c>
      <c r="F56" s="145" t="str">
        <f t="shared" si="6"/>
        <v>Coach 1</v>
      </c>
      <c r="G56" s="155">
        <f t="shared" si="4"/>
        <v>2.6499999999999986</v>
      </c>
      <c r="H56" s="148">
        <f t="shared" si="5"/>
        <v>23.85</v>
      </c>
      <c r="I56" s="56"/>
      <c r="J56" s="23"/>
      <c r="K56" s="23"/>
      <c r="L56" s="23"/>
      <c r="M56" s="23"/>
      <c r="N56" s="23"/>
    </row>
    <row r="57" spans="1:14" ht="30" customHeight="1" thickBot="1">
      <c r="A57" s="54" t="s">
        <v>250</v>
      </c>
      <c r="B57" s="72" t="s">
        <v>228</v>
      </c>
      <c r="C57" s="117">
        <v>27.5</v>
      </c>
      <c r="D57" s="114"/>
      <c r="E57" s="55">
        <v>1</v>
      </c>
      <c r="F57" s="145" t="str">
        <f t="shared" si="6"/>
        <v>Coach 1</v>
      </c>
      <c r="G57" s="155">
        <f t="shared" si="4"/>
        <v>2.75</v>
      </c>
      <c r="H57" s="148">
        <f t="shared" si="5"/>
        <v>24.75</v>
      </c>
      <c r="I57" s="56"/>
      <c r="J57" s="23"/>
      <c r="K57" s="23"/>
      <c r="L57" s="23"/>
      <c r="M57" s="23"/>
      <c r="N57" s="23"/>
    </row>
    <row r="58" spans="1:14" ht="30" customHeight="1" thickBot="1">
      <c r="A58" s="54" t="s">
        <v>251</v>
      </c>
      <c r="B58" s="72" t="s">
        <v>229</v>
      </c>
      <c r="C58" s="117">
        <v>30.5</v>
      </c>
      <c r="D58" s="114"/>
      <c r="E58" s="55">
        <v>1</v>
      </c>
      <c r="F58" s="145" t="str">
        <f t="shared" si="6"/>
        <v>Coach 1</v>
      </c>
      <c r="G58" s="155">
        <f t="shared" si="4"/>
        <v>3.0500000000000007</v>
      </c>
      <c r="H58" s="148">
        <f t="shared" si="5"/>
        <v>27.45</v>
      </c>
      <c r="I58" s="56"/>
      <c r="J58" s="23"/>
      <c r="K58" s="23"/>
      <c r="L58" s="23"/>
      <c r="M58" s="23"/>
      <c r="N58" s="23"/>
    </row>
    <row r="59" spans="1:14" ht="30" customHeight="1" thickBot="1">
      <c r="A59" s="54" t="s">
        <v>252</v>
      </c>
      <c r="B59" s="72" t="s">
        <v>230</v>
      </c>
      <c r="C59" s="117">
        <v>21</v>
      </c>
      <c r="D59" s="114"/>
      <c r="E59" s="55">
        <v>1</v>
      </c>
      <c r="F59" s="145" t="str">
        <f t="shared" si="6"/>
        <v>Coach 1</v>
      </c>
      <c r="G59" s="155">
        <f t="shared" si="4"/>
        <v>2.0999999999999979</v>
      </c>
      <c r="H59" s="148">
        <f t="shared" si="5"/>
        <v>18.900000000000002</v>
      </c>
      <c r="I59" s="56"/>
      <c r="J59" s="23"/>
      <c r="K59" s="23"/>
      <c r="L59" s="23"/>
      <c r="M59" s="23"/>
      <c r="N59" s="23"/>
    </row>
    <row r="60" spans="1:14" ht="30" customHeight="1" thickBot="1">
      <c r="A60" s="54" t="s">
        <v>253</v>
      </c>
      <c r="B60" s="73" t="s">
        <v>231</v>
      </c>
      <c r="C60" s="117">
        <v>35</v>
      </c>
      <c r="D60" s="114"/>
      <c r="E60" s="55">
        <v>1</v>
      </c>
      <c r="F60" s="145" t="str">
        <f t="shared" si="6"/>
        <v>Coach 1</v>
      </c>
      <c r="G60" s="155">
        <f t="shared" si="4"/>
        <v>3.5</v>
      </c>
      <c r="H60" s="148">
        <f t="shared" si="5"/>
        <v>31.5</v>
      </c>
      <c r="I60" s="56"/>
      <c r="J60" s="23"/>
      <c r="K60" s="23"/>
      <c r="L60" s="23"/>
      <c r="M60" s="23"/>
      <c r="N60" s="23"/>
    </row>
    <row r="61" spans="1:14" ht="30" customHeight="1" thickBot="1">
      <c r="A61" s="54" t="s">
        <v>254</v>
      </c>
      <c r="B61" s="73" t="s">
        <v>232</v>
      </c>
      <c r="C61" s="117">
        <v>25.1</v>
      </c>
      <c r="D61" s="114"/>
      <c r="E61" s="55">
        <v>1</v>
      </c>
      <c r="F61" s="145" t="str">
        <f t="shared" si="6"/>
        <v>Coach 1</v>
      </c>
      <c r="G61" s="155">
        <f t="shared" si="4"/>
        <v>2.509999999999998</v>
      </c>
      <c r="H61" s="148">
        <f t="shared" si="5"/>
        <v>22.590000000000003</v>
      </c>
      <c r="I61" s="56"/>
      <c r="J61" s="23"/>
      <c r="K61" s="23"/>
      <c r="L61" s="23"/>
      <c r="M61" s="23"/>
      <c r="N61" s="23"/>
    </row>
    <row r="62" spans="1:14" ht="30" customHeight="1" thickBot="1">
      <c r="A62" s="54" t="s">
        <v>255</v>
      </c>
      <c r="B62" s="74" t="s">
        <v>233</v>
      </c>
      <c r="C62" s="117">
        <v>21</v>
      </c>
      <c r="D62" s="114"/>
      <c r="E62" s="55">
        <v>1</v>
      </c>
      <c r="F62" s="145" t="str">
        <f t="shared" si="6"/>
        <v>Coach 1</v>
      </c>
      <c r="G62" s="155">
        <f t="shared" si="4"/>
        <v>2.0999999999999979</v>
      </c>
      <c r="H62" s="148">
        <f t="shared" si="5"/>
        <v>18.900000000000002</v>
      </c>
      <c r="I62" s="56"/>
      <c r="J62" s="23"/>
      <c r="K62" s="23"/>
      <c r="L62" s="23"/>
      <c r="M62" s="23"/>
      <c r="N62" s="23"/>
    </row>
    <row r="63" spans="1:14" ht="30" customHeight="1" thickBot="1">
      <c r="A63" s="54" t="s">
        <v>256</v>
      </c>
      <c r="B63" s="74" t="s">
        <v>234</v>
      </c>
      <c r="C63" s="117">
        <v>23</v>
      </c>
      <c r="D63" s="114"/>
      <c r="E63" s="55">
        <v>1</v>
      </c>
      <c r="F63" s="145" t="str">
        <f t="shared" si="6"/>
        <v>Coach 1</v>
      </c>
      <c r="G63" s="155">
        <f t="shared" si="4"/>
        <v>2.3000000000000007</v>
      </c>
      <c r="H63" s="148">
        <f t="shared" si="5"/>
        <v>20.7</v>
      </c>
      <c r="I63" s="56"/>
      <c r="J63" s="23"/>
      <c r="K63" s="23"/>
      <c r="L63" s="23"/>
      <c r="M63" s="23"/>
      <c r="N63" s="23"/>
    </row>
    <row r="64" spans="1:14" ht="30" customHeight="1" thickBot="1">
      <c r="A64" s="54" t="s">
        <v>257</v>
      </c>
      <c r="B64" s="74" t="s">
        <v>235</v>
      </c>
      <c r="C64" s="117">
        <v>17.5</v>
      </c>
      <c r="D64" s="114"/>
      <c r="E64" s="55">
        <v>1</v>
      </c>
      <c r="F64" s="145" t="str">
        <f t="shared" si="6"/>
        <v>Coach 1</v>
      </c>
      <c r="G64" s="155">
        <f t="shared" si="4"/>
        <v>1.75</v>
      </c>
      <c r="H64" s="148">
        <f t="shared" si="5"/>
        <v>15.75</v>
      </c>
      <c r="I64" s="56"/>
      <c r="J64" s="23"/>
      <c r="K64" s="23"/>
      <c r="L64" s="23"/>
      <c r="M64" s="23"/>
      <c r="N64" s="23"/>
    </row>
    <row r="65" spans="1:14" ht="15.75">
      <c r="A65" s="58"/>
      <c r="B65" s="59"/>
      <c r="C65" s="59"/>
      <c r="D65" s="121"/>
      <c r="E65" s="59"/>
      <c r="F65" s="59"/>
      <c r="G65" s="59"/>
      <c r="H65" s="59"/>
      <c r="I65" s="56"/>
      <c r="J65" s="23"/>
      <c r="K65" s="23"/>
      <c r="L65" s="23"/>
      <c r="M65" s="23"/>
      <c r="N65" s="23"/>
    </row>
    <row r="66" spans="1:14" ht="69" customHeight="1" thickBot="1">
      <c r="A66" s="49" t="s">
        <v>45</v>
      </c>
      <c r="B66" s="50" t="s">
        <v>0</v>
      </c>
      <c r="C66" s="115" t="s">
        <v>207</v>
      </c>
      <c r="D66" s="114"/>
      <c r="E66" s="119" t="s">
        <v>36</v>
      </c>
      <c r="F66" s="152" t="s">
        <v>208</v>
      </c>
      <c r="G66" s="156" t="s">
        <v>201</v>
      </c>
      <c r="H66" s="157" t="s">
        <v>37</v>
      </c>
      <c r="I66" s="58"/>
      <c r="J66" s="23"/>
      <c r="K66" s="23"/>
      <c r="L66" s="23"/>
      <c r="M66" s="23"/>
      <c r="N66" s="23"/>
    </row>
    <row r="67" spans="1:14" ht="30" customHeight="1" thickBot="1">
      <c r="A67" s="54" t="s">
        <v>77</v>
      </c>
      <c r="B67" s="66" t="s">
        <v>1</v>
      </c>
      <c r="C67" s="116">
        <v>21</v>
      </c>
      <c r="D67" s="114"/>
      <c r="E67" s="55">
        <v>1</v>
      </c>
      <c r="F67" s="145" t="str">
        <f>IF(AND(E67&gt;0,E67&lt;=20),"Coach 1",IF(AND(E67&gt;21,E67&lt;=29),"Coach 2",IF(AND(E67&gt;30,E67&lt;=49),"Coach 3")))</f>
        <v>Coach 1</v>
      </c>
      <c r="G67" s="158">
        <f t="shared" ref="G67:G92" si="7">SUM(C67*E67-H67)</f>
        <v>3.6750000000000007</v>
      </c>
      <c r="H67" s="148">
        <f t="shared" ref="H67:H92" si="8">SUM(C67*E67*0.825)</f>
        <v>17.324999999999999</v>
      </c>
      <c r="I67" s="56"/>
      <c r="J67" s="23"/>
      <c r="K67" s="23"/>
      <c r="L67" s="23"/>
      <c r="M67" s="23"/>
      <c r="N67" s="23"/>
    </row>
    <row r="68" spans="1:14" ht="30" customHeight="1" thickBot="1">
      <c r="A68" s="54" t="s">
        <v>78</v>
      </c>
      <c r="B68" s="66" t="s">
        <v>5</v>
      </c>
      <c r="C68" s="117">
        <v>31</v>
      </c>
      <c r="D68" s="114"/>
      <c r="E68" s="55">
        <v>1</v>
      </c>
      <c r="F68" s="145" t="str">
        <f t="shared" ref="F68:F92" si="9">IF(AND(E68&gt;0,E68&lt;=20),"Coach 1",IF(AND(E68&gt;21,E68&lt;=29),"Coach 2",IF(AND(E68&gt;30,E68&lt;=49),"Coach 3")))</f>
        <v>Coach 1</v>
      </c>
      <c r="G68" s="158">
        <f t="shared" si="7"/>
        <v>5.4250000000000007</v>
      </c>
      <c r="H68" s="148">
        <f t="shared" si="8"/>
        <v>25.574999999999999</v>
      </c>
      <c r="I68" s="56"/>
      <c r="J68" s="23"/>
      <c r="K68" s="23"/>
      <c r="L68" s="23"/>
      <c r="M68" s="23"/>
      <c r="N68" s="23"/>
    </row>
    <row r="69" spans="1:14" ht="30" customHeight="1" thickBot="1">
      <c r="A69" s="54" t="s">
        <v>80</v>
      </c>
      <c r="B69" s="66" t="s">
        <v>4</v>
      </c>
      <c r="C69" s="117">
        <v>40</v>
      </c>
      <c r="D69" s="114"/>
      <c r="E69" s="55">
        <v>1</v>
      </c>
      <c r="F69" s="145" t="str">
        <f t="shared" si="9"/>
        <v>Coach 1</v>
      </c>
      <c r="G69" s="158">
        <f t="shared" si="7"/>
        <v>7</v>
      </c>
      <c r="H69" s="148">
        <f t="shared" si="8"/>
        <v>33</v>
      </c>
      <c r="I69" s="56"/>
      <c r="J69" s="23"/>
      <c r="K69" s="23"/>
      <c r="L69" s="23"/>
      <c r="M69" s="23"/>
      <c r="N69" s="23"/>
    </row>
    <row r="70" spans="1:14" ht="30" customHeight="1" thickBot="1">
      <c r="A70" s="54" t="s">
        <v>81</v>
      </c>
      <c r="B70" s="67" t="s">
        <v>216</v>
      </c>
      <c r="C70" s="118">
        <v>15.85</v>
      </c>
      <c r="D70" s="114"/>
      <c r="E70" s="55">
        <v>1</v>
      </c>
      <c r="F70" s="145" t="str">
        <f t="shared" si="9"/>
        <v>Coach 1</v>
      </c>
      <c r="G70" s="158">
        <f t="shared" si="7"/>
        <v>2.7737500000000015</v>
      </c>
      <c r="H70" s="148">
        <f t="shared" si="8"/>
        <v>13.076249999999998</v>
      </c>
      <c r="I70" s="56"/>
      <c r="J70" s="23"/>
      <c r="K70" s="23"/>
      <c r="L70" s="23"/>
      <c r="M70" s="23"/>
      <c r="N70" s="23"/>
    </row>
    <row r="71" spans="1:14" ht="30" customHeight="1" thickBot="1">
      <c r="A71" s="54" t="s">
        <v>82</v>
      </c>
      <c r="B71" s="67" t="s">
        <v>217</v>
      </c>
      <c r="C71" s="117">
        <v>15.5</v>
      </c>
      <c r="D71" s="114"/>
      <c r="E71" s="55">
        <v>1</v>
      </c>
      <c r="F71" s="145" t="str">
        <f t="shared" si="9"/>
        <v>Coach 1</v>
      </c>
      <c r="G71" s="158">
        <f t="shared" si="7"/>
        <v>2.7125000000000004</v>
      </c>
      <c r="H71" s="148">
        <f t="shared" si="8"/>
        <v>12.7875</v>
      </c>
      <c r="I71" s="56"/>
      <c r="J71" s="23"/>
      <c r="K71" s="23"/>
      <c r="L71" s="23"/>
      <c r="M71" s="23"/>
      <c r="N71" s="23"/>
    </row>
    <row r="72" spans="1:14" ht="30" customHeight="1" thickBot="1">
      <c r="A72" s="54" t="s">
        <v>237</v>
      </c>
      <c r="B72" s="68" t="s">
        <v>218</v>
      </c>
      <c r="C72" s="117">
        <v>41.5</v>
      </c>
      <c r="D72" s="114"/>
      <c r="E72" s="55">
        <v>1</v>
      </c>
      <c r="F72" s="145" t="str">
        <f t="shared" si="9"/>
        <v>Coach 1</v>
      </c>
      <c r="G72" s="158">
        <f t="shared" si="7"/>
        <v>7.2625000000000028</v>
      </c>
      <c r="H72" s="148">
        <f t="shared" si="8"/>
        <v>34.237499999999997</v>
      </c>
      <c r="I72" s="56"/>
      <c r="J72" s="23"/>
      <c r="K72" s="23"/>
      <c r="L72" s="23"/>
      <c r="M72" s="23"/>
      <c r="N72" s="23"/>
    </row>
    <row r="73" spans="1:14" ht="30" customHeight="1" thickBot="1">
      <c r="A73" s="54" t="s">
        <v>238</v>
      </c>
      <c r="B73" s="68" t="s">
        <v>219</v>
      </c>
      <c r="C73" s="117">
        <v>25</v>
      </c>
      <c r="D73" s="114"/>
      <c r="E73" s="55">
        <v>1</v>
      </c>
      <c r="F73" s="145" t="str">
        <f t="shared" si="9"/>
        <v>Coach 1</v>
      </c>
      <c r="G73" s="158">
        <f t="shared" si="7"/>
        <v>4.375</v>
      </c>
      <c r="H73" s="148">
        <f t="shared" si="8"/>
        <v>20.625</v>
      </c>
      <c r="I73" s="56"/>
      <c r="J73" s="23"/>
      <c r="K73" s="23"/>
      <c r="L73" s="23"/>
      <c r="M73" s="23"/>
      <c r="N73" s="23"/>
    </row>
    <row r="74" spans="1:14" ht="30" customHeight="1" thickBot="1">
      <c r="A74" s="54" t="s">
        <v>239</v>
      </c>
      <c r="B74" s="68" t="s">
        <v>220</v>
      </c>
      <c r="C74" s="117">
        <v>20</v>
      </c>
      <c r="D74" s="114"/>
      <c r="E74" s="55">
        <v>1</v>
      </c>
      <c r="F74" s="145" t="str">
        <f t="shared" si="9"/>
        <v>Coach 1</v>
      </c>
      <c r="G74" s="158">
        <f t="shared" si="7"/>
        <v>3.5</v>
      </c>
      <c r="H74" s="148">
        <f t="shared" si="8"/>
        <v>16.5</v>
      </c>
      <c r="I74" s="56"/>
      <c r="J74" s="23"/>
      <c r="K74" s="23"/>
      <c r="L74" s="23"/>
      <c r="M74" s="23"/>
      <c r="N74" s="23"/>
    </row>
    <row r="75" spans="1:14" ht="30" customHeight="1" thickBot="1">
      <c r="A75" s="54" t="s">
        <v>240</v>
      </c>
      <c r="B75" s="68" t="s">
        <v>221</v>
      </c>
      <c r="C75" s="117">
        <v>11.5</v>
      </c>
      <c r="D75" s="114"/>
      <c r="E75" s="55">
        <v>1</v>
      </c>
      <c r="F75" s="145" t="str">
        <f t="shared" si="9"/>
        <v>Coach 1</v>
      </c>
      <c r="G75" s="158">
        <f t="shared" si="7"/>
        <v>2.0125000000000011</v>
      </c>
      <c r="H75" s="148">
        <f t="shared" si="8"/>
        <v>9.4874999999999989</v>
      </c>
      <c r="I75" s="56"/>
      <c r="J75" s="23"/>
      <c r="K75" s="23"/>
      <c r="L75" s="23"/>
      <c r="M75" s="23"/>
      <c r="N75" s="23"/>
    </row>
    <row r="76" spans="1:14" ht="30" customHeight="1" thickBot="1">
      <c r="A76" s="54" t="s">
        <v>241</v>
      </c>
      <c r="B76" s="69" t="s">
        <v>222</v>
      </c>
      <c r="C76" s="117">
        <v>24.5</v>
      </c>
      <c r="D76" s="114"/>
      <c r="E76" s="55">
        <v>1</v>
      </c>
      <c r="F76" s="145" t="str">
        <f t="shared" si="9"/>
        <v>Coach 1</v>
      </c>
      <c r="G76" s="158">
        <f t="shared" si="7"/>
        <v>4.2875000000000014</v>
      </c>
      <c r="H76" s="148">
        <f t="shared" si="8"/>
        <v>20.212499999999999</v>
      </c>
      <c r="I76" s="56"/>
      <c r="J76" s="23"/>
      <c r="K76" s="23"/>
      <c r="L76" s="23"/>
      <c r="M76" s="23"/>
      <c r="N76" s="23"/>
    </row>
    <row r="77" spans="1:14" ht="30" customHeight="1" thickBot="1">
      <c r="A77" s="54" t="s">
        <v>242</v>
      </c>
      <c r="B77" s="69" t="s">
        <v>223</v>
      </c>
      <c r="C77" s="117">
        <v>17.5</v>
      </c>
      <c r="D77" s="114"/>
      <c r="E77" s="55">
        <v>1</v>
      </c>
      <c r="F77" s="145" t="str">
        <f t="shared" si="9"/>
        <v>Coach 1</v>
      </c>
      <c r="G77" s="158">
        <f t="shared" si="7"/>
        <v>3.0625</v>
      </c>
      <c r="H77" s="148">
        <f t="shared" si="8"/>
        <v>14.4375</v>
      </c>
      <c r="I77" s="56"/>
      <c r="J77" s="23"/>
      <c r="K77" s="23"/>
      <c r="L77" s="23"/>
      <c r="M77" s="23"/>
      <c r="N77" s="23"/>
    </row>
    <row r="78" spans="1:14" ht="30" customHeight="1" thickBot="1">
      <c r="A78" s="54" t="s">
        <v>243</v>
      </c>
      <c r="B78" s="69" t="s">
        <v>224</v>
      </c>
      <c r="C78" s="117">
        <v>25</v>
      </c>
      <c r="D78" s="114"/>
      <c r="E78" s="55">
        <v>1</v>
      </c>
      <c r="F78" s="145" t="str">
        <f t="shared" si="9"/>
        <v>Coach 1</v>
      </c>
      <c r="G78" s="158">
        <f t="shared" si="7"/>
        <v>4.375</v>
      </c>
      <c r="H78" s="148">
        <f t="shared" si="8"/>
        <v>20.625</v>
      </c>
      <c r="I78" s="56"/>
      <c r="J78" s="23"/>
      <c r="K78" s="23"/>
      <c r="L78" s="23"/>
      <c r="M78" s="23"/>
      <c r="N78" s="23"/>
    </row>
    <row r="79" spans="1:14" ht="30" customHeight="1" thickBot="1">
      <c r="A79" s="54" t="s">
        <v>244</v>
      </c>
      <c r="B79" s="69" t="s">
        <v>225</v>
      </c>
      <c r="C79" s="117">
        <v>20</v>
      </c>
      <c r="D79" s="114"/>
      <c r="E79" s="55">
        <v>1</v>
      </c>
      <c r="F79" s="145" t="str">
        <f t="shared" si="9"/>
        <v>Coach 1</v>
      </c>
      <c r="G79" s="158">
        <f t="shared" si="7"/>
        <v>3.5</v>
      </c>
      <c r="H79" s="148">
        <f t="shared" si="8"/>
        <v>16.5</v>
      </c>
      <c r="I79" s="56"/>
      <c r="J79" s="23"/>
      <c r="K79" s="23"/>
      <c r="L79" s="23"/>
      <c r="M79" s="23"/>
      <c r="N79" s="23"/>
    </row>
    <row r="80" spans="1:14" ht="30" customHeight="1" thickBot="1">
      <c r="A80" s="54" t="s">
        <v>245</v>
      </c>
      <c r="B80" s="69" t="s">
        <v>236</v>
      </c>
      <c r="C80" s="117">
        <v>11.5</v>
      </c>
      <c r="D80" s="114"/>
      <c r="E80" s="55">
        <v>1</v>
      </c>
      <c r="F80" s="145" t="str">
        <f t="shared" si="9"/>
        <v>Coach 1</v>
      </c>
      <c r="G80" s="158">
        <f t="shared" si="7"/>
        <v>2.0125000000000011</v>
      </c>
      <c r="H80" s="148">
        <f t="shared" si="8"/>
        <v>9.4874999999999989</v>
      </c>
      <c r="I80" s="56"/>
      <c r="J80" s="23"/>
      <c r="K80" s="23"/>
      <c r="L80" s="23"/>
      <c r="M80" s="23"/>
      <c r="N80" s="23"/>
    </row>
    <row r="81" spans="1:14" ht="30" customHeight="1" thickBot="1">
      <c r="A81" s="54" t="s">
        <v>246</v>
      </c>
      <c r="B81" s="70" t="s">
        <v>2</v>
      </c>
      <c r="C81" s="117">
        <v>21</v>
      </c>
      <c r="D81" s="114"/>
      <c r="E81" s="55">
        <v>1</v>
      </c>
      <c r="F81" s="145" t="str">
        <f t="shared" si="9"/>
        <v>Coach 1</v>
      </c>
      <c r="G81" s="158">
        <f t="shared" si="7"/>
        <v>3.6750000000000007</v>
      </c>
      <c r="H81" s="148">
        <f t="shared" si="8"/>
        <v>17.324999999999999</v>
      </c>
      <c r="I81" s="56"/>
      <c r="J81" s="23"/>
      <c r="K81" s="23"/>
      <c r="L81" s="23"/>
      <c r="M81" s="23"/>
      <c r="N81" s="23"/>
    </row>
    <row r="82" spans="1:14" ht="30" customHeight="1" thickBot="1">
      <c r="A82" s="54" t="s">
        <v>247</v>
      </c>
      <c r="B82" s="70" t="s">
        <v>3</v>
      </c>
      <c r="C82" s="117">
        <v>26.5</v>
      </c>
      <c r="D82" s="114"/>
      <c r="E82" s="55">
        <v>1</v>
      </c>
      <c r="F82" s="145" t="str">
        <f t="shared" si="9"/>
        <v>Coach 1</v>
      </c>
      <c r="G82" s="158">
        <f t="shared" si="7"/>
        <v>4.6375000000000028</v>
      </c>
      <c r="H82" s="148">
        <f t="shared" si="8"/>
        <v>21.862499999999997</v>
      </c>
      <c r="I82" s="56"/>
      <c r="J82" s="23"/>
      <c r="K82" s="23"/>
      <c r="L82" s="23"/>
      <c r="M82" s="23"/>
      <c r="N82" s="23"/>
    </row>
    <row r="83" spans="1:14" ht="30" customHeight="1" thickBot="1">
      <c r="A83" s="54" t="s">
        <v>248</v>
      </c>
      <c r="B83" s="71" t="s">
        <v>226</v>
      </c>
      <c r="C83" s="117">
        <v>19.5</v>
      </c>
      <c r="D83" s="114"/>
      <c r="E83" s="55">
        <v>1</v>
      </c>
      <c r="F83" s="145" t="str">
        <f t="shared" si="9"/>
        <v>Coach 1</v>
      </c>
      <c r="G83" s="158">
        <f t="shared" si="7"/>
        <v>3.4125000000000014</v>
      </c>
      <c r="H83" s="148">
        <f t="shared" si="8"/>
        <v>16.087499999999999</v>
      </c>
      <c r="I83" s="56"/>
      <c r="J83" s="23"/>
      <c r="K83" s="23"/>
      <c r="L83" s="23"/>
      <c r="M83" s="23"/>
      <c r="N83" s="23"/>
    </row>
    <row r="84" spans="1:14" ht="30" customHeight="1" thickBot="1">
      <c r="A84" s="54" t="s">
        <v>249</v>
      </c>
      <c r="B84" s="72" t="s">
        <v>227</v>
      </c>
      <c r="C84" s="117">
        <v>26.5</v>
      </c>
      <c r="D84" s="114"/>
      <c r="E84" s="55">
        <v>1</v>
      </c>
      <c r="F84" s="145" t="str">
        <f t="shared" si="9"/>
        <v>Coach 1</v>
      </c>
      <c r="G84" s="158">
        <f t="shared" si="7"/>
        <v>4.6375000000000028</v>
      </c>
      <c r="H84" s="148">
        <f t="shared" si="8"/>
        <v>21.862499999999997</v>
      </c>
      <c r="I84" s="56"/>
      <c r="J84" s="23"/>
      <c r="K84" s="23"/>
      <c r="L84" s="23"/>
      <c r="M84" s="23"/>
      <c r="N84" s="23"/>
    </row>
    <row r="85" spans="1:14" ht="30" customHeight="1" thickBot="1">
      <c r="A85" s="54" t="s">
        <v>250</v>
      </c>
      <c r="B85" s="72" t="s">
        <v>228</v>
      </c>
      <c r="C85" s="117">
        <v>27.5</v>
      </c>
      <c r="D85" s="114"/>
      <c r="E85" s="55">
        <v>1</v>
      </c>
      <c r="F85" s="145" t="str">
        <f t="shared" si="9"/>
        <v>Coach 1</v>
      </c>
      <c r="G85" s="158">
        <f t="shared" si="7"/>
        <v>4.8125</v>
      </c>
      <c r="H85" s="148">
        <f t="shared" si="8"/>
        <v>22.6875</v>
      </c>
      <c r="I85" s="56"/>
      <c r="J85" s="23"/>
      <c r="K85" s="23"/>
      <c r="L85" s="23"/>
      <c r="M85" s="23"/>
      <c r="N85" s="23"/>
    </row>
    <row r="86" spans="1:14" ht="30" customHeight="1" thickBot="1">
      <c r="A86" s="54" t="s">
        <v>251</v>
      </c>
      <c r="B86" s="72" t="s">
        <v>229</v>
      </c>
      <c r="C86" s="117">
        <v>30.5</v>
      </c>
      <c r="D86" s="114"/>
      <c r="E86" s="55">
        <v>1</v>
      </c>
      <c r="F86" s="145" t="str">
        <f t="shared" si="9"/>
        <v>Coach 1</v>
      </c>
      <c r="G86" s="158">
        <f t="shared" si="7"/>
        <v>5.3375000000000021</v>
      </c>
      <c r="H86" s="148">
        <f t="shared" si="8"/>
        <v>25.162499999999998</v>
      </c>
      <c r="I86" s="56"/>
      <c r="J86" s="23"/>
      <c r="K86" s="23"/>
      <c r="L86" s="23"/>
      <c r="M86" s="23"/>
      <c r="N86" s="23"/>
    </row>
    <row r="87" spans="1:14" ht="30" customHeight="1" thickBot="1">
      <c r="A87" s="54" t="s">
        <v>252</v>
      </c>
      <c r="B87" s="72" t="s">
        <v>230</v>
      </c>
      <c r="C87" s="117">
        <v>21</v>
      </c>
      <c r="D87" s="114"/>
      <c r="E87" s="55">
        <v>1</v>
      </c>
      <c r="F87" s="145" t="str">
        <f t="shared" si="9"/>
        <v>Coach 1</v>
      </c>
      <c r="G87" s="158">
        <f t="shared" si="7"/>
        <v>3.6750000000000007</v>
      </c>
      <c r="H87" s="148">
        <f t="shared" si="8"/>
        <v>17.324999999999999</v>
      </c>
      <c r="I87" s="56"/>
      <c r="J87" s="23"/>
      <c r="K87" s="23"/>
      <c r="L87" s="23"/>
      <c r="M87" s="23"/>
      <c r="N87" s="23"/>
    </row>
    <row r="88" spans="1:14" ht="30" customHeight="1" thickBot="1">
      <c r="A88" s="54" t="s">
        <v>253</v>
      </c>
      <c r="B88" s="73" t="s">
        <v>231</v>
      </c>
      <c r="C88" s="117">
        <v>35</v>
      </c>
      <c r="D88" s="114"/>
      <c r="E88" s="55">
        <v>1</v>
      </c>
      <c r="F88" s="145" t="str">
        <f t="shared" si="9"/>
        <v>Coach 1</v>
      </c>
      <c r="G88" s="158">
        <f t="shared" si="7"/>
        <v>6.125</v>
      </c>
      <c r="H88" s="148">
        <f t="shared" si="8"/>
        <v>28.875</v>
      </c>
      <c r="I88" s="56"/>
      <c r="J88" s="23"/>
      <c r="K88" s="23"/>
      <c r="L88" s="23"/>
      <c r="M88" s="23"/>
      <c r="N88" s="23"/>
    </row>
    <row r="89" spans="1:14" ht="30" customHeight="1" thickBot="1">
      <c r="A89" s="54" t="s">
        <v>254</v>
      </c>
      <c r="B89" s="73" t="s">
        <v>232</v>
      </c>
      <c r="C89" s="117">
        <v>25.1</v>
      </c>
      <c r="D89" s="114"/>
      <c r="E89" s="55">
        <v>1</v>
      </c>
      <c r="F89" s="145" t="str">
        <f t="shared" si="9"/>
        <v>Coach 1</v>
      </c>
      <c r="G89" s="158">
        <f t="shared" si="7"/>
        <v>4.3925000000000018</v>
      </c>
      <c r="H89" s="148">
        <f t="shared" si="8"/>
        <v>20.7075</v>
      </c>
      <c r="I89" s="56"/>
      <c r="J89" s="23"/>
      <c r="K89" s="23"/>
      <c r="L89" s="23"/>
      <c r="M89" s="23"/>
      <c r="N89" s="23"/>
    </row>
    <row r="90" spans="1:14" ht="30" customHeight="1" thickBot="1">
      <c r="A90" s="54" t="s">
        <v>255</v>
      </c>
      <c r="B90" s="74" t="s">
        <v>233</v>
      </c>
      <c r="C90" s="117">
        <v>21</v>
      </c>
      <c r="D90" s="114"/>
      <c r="E90" s="55">
        <v>1</v>
      </c>
      <c r="F90" s="145" t="str">
        <f t="shared" si="9"/>
        <v>Coach 1</v>
      </c>
      <c r="G90" s="158">
        <f t="shared" si="7"/>
        <v>3.6750000000000007</v>
      </c>
      <c r="H90" s="148">
        <f t="shared" si="8"/>
        <v>17.324999999999999</v>
      </c>
      <c r="I90" s="56"/>
      <c r="J90" s="23"/>
      <c r="K90" s="23"/>
      <c r="L90" s="23"/>
      <c r="M90" s="23"/>
      <c r="N90" s="23"/>
    </row>
    <row r="91" spans="1:14" ht="30" customHeight="1" thickBot="1">
      <c r="A91" s="54" t="s">
        <v>256</v>
      </c>
      <c r="B91" s="74" t="s">
        <v>234</v>
      </c>
      <c r="C91" s="117">
        <v>23</v>
      </c>
      <c r="D91" s="114"/>
      <c r="E91" s="55">
        <v>1</v>
      </c>
      <c r="F91" s="145" t="str">
        <f t="shared" si="9"/>
        <v>Coach 1</v>
      </c>
      <c r="G91" s="158">
        <f t="shared" si="7"/>
        <v>4.0250000000000021</v>
      </c>
      <c r="H91" s="148">
        <f t="shared" si="8"/>
        <v>18.974999999999998</v>
      </c>
      <c r="I91" s="56"/>
      <c r="J91" s="23"/>
      <c r="K91" s="23"/>
      <c r="L91" s="23"/>
      <c r="M91" s="23"/>
      <c r="N91" s="23"/>
    </row>
    <row r="92" spans="1:14" ht="30" customHeight="1" thickBot="1">
      <c r="A92" s="54" t="s">
        <v>257</v>
      </c>
      <c r="B92" s="74" t="s">
        <v>235</v>
      </c>
      <c r="C92" s="117">
        <v>17.5</v>
      </c>
      <c r="D92" s="114"/>
      <c r="E92" s="55">
        <v>1</v>
      </c>
      <c r="F92" s="145" t="str">
        <f t="shared" si="9"/>
        <v>Coach 1</v>
      </c>
      <c r="G92" s="158">
        <f t="shared" si="7"/>
        <v>3.0625</v>
      </c>
      <c r="H92" s="148">
        <f t="shared" si="8"/>
        <v>14.4375</v>
      </c>
      <c r="I92" s="56"/>
      <c r="J92" s="23"/>
      <c r="K92" s="23"/>
      <c r="L92" s="23"/>
      <c r="M92" s="23"/>
      <c r="N92" s="23"/>
    </row>
    <row r="93" spans="1:14" ht="15.75">
      <c r="A93" s="59"/>
      <c r="B93" s="59"/>
      <c r="C93" s="59"/>
      <c r="D93" s="121"/>
      <c r="E93" s="59"/>
      <c r="F93" s="59"/>
      <c r="G93" s="60"/>
      <c r="H93" s="60"/>
      <c r="I93" s="60"/>
      <c r="J93" s="11"/>
      <c r="K93" s="11"/>
      <c r="L93" s="11"/>
      <c r="M93" s="11"/>
      <c r="N93" s="11"/>
    </row>
    <row r="94" spans="1:14" ht="15.75">
      <c r="A94" s="59"/>
      <c r="B94" s="60"/>
      <c r="C94" s="60"/>
      <c r="D94" s="121"/>
      <c r="E94" s="60"/>
      <c r="F94" s="60"/>
      <c r="G94" s="60"/>
      <c r="H94" s="60"/>
      <c r="I94" s="60"/>
      <c r="J94" s="11"/>
      <c r="K94" s="11"/>
      <c r="L94" s="11"/>
      <c r="M94" s="11"/>
      <c r="N94" s="11"/>
    </row>
    <row r="95" spans="1:14" ht="15.75">
      <c r="A95" s="59"/>
      <c r="B95" s="60"/>
      <c r="C95" s="60"/>
      <c r="D95" s="121"/>
      <c r="E95" s="60"/>
      <c r="F95" s="60"/>
      <c r="G95" s="60"/>
      <c r="H95" s="60"/>
      <c r="I95" s="60"/>
      <c r="J95" s="11"/>
      <c r="K95" s="11"/>
      <c r="L95" s="11"/>
      <c r="M95" s="11"/>
      <c r="N95" s="11"/>
    </row>
    <row r="96" spans="1:14" ht="15.75">
      <c r="A96" s="59"/>
      <c r="B96" s="60"/>
      <c r="C96" s="60"/>
      <c r="D96" s="121"/>
      <c r="E96" s="60"/>
      <c r="F96" s="60"/>
      <c r="G96" s="60"/>
      <c r="H96" s="60"/>
      <c r="I96" s="60"/>
      <c r="J96" s="11"/>
      <c r="K96" s="11"/>
      <c r="L96" s="11"/>
      <c r="M96" s="11"/>
      <c r="N96" s="11"/>
    </row>
    <row r="97" spans="1:14" ht="16.5" thickBot="1">
      <c r="A97" s="59"/>
      <c r="B97" s="60"/>
      <c r="C97" s="60"/>
      <c r="D97" s="121"/>
      <c r="E97" s="60"/>
      <c r="F97" s="60"/>
      <c r="G97" s="60"/>
      <c r="H97" s="60"/>
      <c r="I97" s="60"/>
      <c r="J97" s="11"/>
      <c r="K97" s="11"/>
      <c r="L97" s="11"/>
      <c r="M97" s="11"/>
      <c r="N97" s="11"/>
    </row>
    <row r="98" spans="1:14" ht="16.5" thickBot="1">
      <c r="A98" s="61"/>
      <c r="B98" s="61"/>
      <c r="C98" s="61"/>
      <c r="D98" s="122"/>
      <c r="E98" s="61"/>
      <c r="F98" s="61"/>
      <c r="G98" s="61"/>
      <c r="H98" s="61"/>
      <c r="I98" s="61"/>
      <c r="J98" s="11"/>
      <c r="K98" s="11"/>
      <c r="L98" s="11"/>
      <c r="M98" s="11"/>
      <c r="N98" s="11"/>
    </row>
    <row r="99" spans="1:14" ht="15.75">
      <c r="A99" s="59"/>
      <c r="B99" s="56"/>
      <c r="C99" s="56"/>
      <c r="D99" s="120"/>
      <c r="E99" s="56"/>
      <c r="F99" s="56"/>
      <c r="G99" s="56"/>
      <c r="H99" s="56"/>
      <c r="I99" s="56"/>
      <c r="J99" s="11"/>
      <c r="K99" s="11"/>
      <c r="L99" s="11"/>
      <c r="M99" s="11"/>
      <c r="N99" s="11"/>
    </row>
    <row r="100" spans="1:14" ht="15.75">
      <c r="A100" s="59"/>
      <c r="B100" s="56"/>
      <c r="C100" s="56"/>
      <c r="D100" s="120"/>
      <c r="E100" s="56"/>
      <c r="F100" s="56"/>
      <c r="G100" s="56"/>
      <c r="H100" s="56"/>
      <c r="I100" s="56"/>
      <c r="J100" s="11"/>
      <c r="K100" s="11"/>
      <c r="L100" s="11"/>
      <c r="M100" s="11"/>
      <c r="N100" s="11"/>
    </row>
    <row r="101" spans="1:14" ht="15.75">
      <c r="A101" s="59"/>
      <c r="B101" s="56"/>
      <c r="C101" s="56"/>
      <c r="D101" s="120"/>
      <c r="E101" s="56"/>
      <c r="F101" s="56"/>
      <c r="G101" s="56"/>
      <c r="H101" s="56"/>
      <c r="I101" s="56"/>
      <c r="J101" s="11"/>
      <c r="K101" s="11"/>
      <c r="L101" s="11"/>
      <c r="M101" s="11"/>
      <c r="N101" s="11"/>
    </row>
    <row r="102" spans="1:14" ht="15.75">
      <c r="A102" s="59"/>
      <c r="B102" s="56"/>
      <c r="C102" s="56"/>
      <c r="D102" s="120"/>
      <c r="E102" s="56"/>
      <c r="F102" s="56"/>
      <c r="G102" s="56"/>
      <c r="H102" s="56"/>
      <c r="I102" s="56"/>
      <c r="J102" s="11"/>
      <c r="K102" s="11"/>
      <c r="L102" s="11"/>
      <c r="M102" s="11"/>
      <c r="N102" s="11"/>
    </row>
    <row r="103" spans="1:14" ht="69.75" customHeight="1" thickBot="1">
      <c r="A103" s="49" t="s">
        <v>45</v>
      </c>
      <c r="B103" s="50" t="s">
        <v>0</v>
      </c>
      <c r="C103" s="62" t="s">
        <v>38</v>
      </c>
      <c r="D103" s="114"/>
      <c r="E103" s="63" t="s">
        <v>36</v>
      </c>
      <c r="F103" s="152" t="s">
        <v>208</v>
      </c>
      <c r="G103" s="159" t="s">
        <v>209</v>
      </c>
      <c r="H103" s="160" t="s">
        <v>205</v>
      </c>
      <c r="I103" s="161" t="s">
        <v>37</v>
      </c>
      <c r="J103" s="11"/>
      <c r="K103" s="11"/>
      <c r="L103" s="11"/>
      <c r="M103" s="11"/>
      <c r="N103" s="11"/>
    </row>
    <row r="104" spans="1:14" ht="30" customHeight="1" thickBot="1">
      <c r="A104" s="54" t="s">
        <v>77</v>
      </c>
      <c r="B104" s="66" t="s">
        <v>1</v>
      </c>
      <c r="C104" s="116">
        <f>SUM(C67/2)</f>
        <v>10.5</v>
      </c>
      <c r="D104" s="114"/>
      <c r="E104" s="55">
        <v>1</v>
      </c>
      <c r="F104" s="162" t="str">
        <f>IF(AND(E104&gt;0,E104&lt;=20),"Coach 1",IF(AND(E104&gt;21,E104&lt;=29),"Coach 2",IF(AND(E104&gt;30,E104&lt;=49),"Coach 3")))</f>
        <v>Coach 1</v>
      </c>
      <c r="G104" s="163" t="str">
        <f>IF(AND(E104&gt;0,E104&lt;=19),"Discount not applicable",IF(AND(E104&gt;20,E104&lt;=49),"Discount Applicable"))</f>
        <v>Discount not applicable</v>
      </c>
      <c r="H104" s="147" t="b">
        <f>IF(E104&gt;20,C104*E104*0.05)</f>
        <v>0</v>
      </c>
      <c r="I104" s="164">
        <f t="shared" ref="I104:I129" si="10">SUM(C104*E104-H104)</f>
        <v>10.5</v>
      </c>
      <c r="J104" s="11"/>
      <c r="K104" s="11"/>
      <c r="L104" s="11"/>
      <c r="M104" s="11"/>
      <c r="N104" s="11"/>
    </row>
    <row r="105" spans="1:14" ht="30" customHeight="1" thickBot="1">
      <c r="A105" s="54" t="s">
        <v>78</v>
      </c>
      <c r="B105" s="66" t="s">
        <v>5</v>
      </c>
      <c r="C105" s="116">
        <f t="shared" ref="C105:C129" si="11">SUM(C68/2)</f>
        <v>15.5</v>
      </c>
      <c r="D105" s="114"/>
      <c r="E105" s="55">
        <v>1</v>
      </c>
      <c r="F105" s="162" t="str">
        <f t="shared" ref="F105:F129" si="12">IF(AND(E105&gt;0,E105&lt;=20),"Coach 1",IF(AND(E105&gt;21,E105&lt;=29),"Coach 2",IF(AND(E105&gt;30,E105&lt;=49),"Coach 3")))</f>
        <v>Coach 1</v>
      </c>
      <c r="G105" s="163" t="str">
        <f t="shared" ref="G105:G129" si="13">IF(AND(E105&gt;0,E105&lt;=19),"Discount not applicable",IF(AND(E105&gt;20,E105&lt;=49),"Discount Applicable"))</f>
        <v>Discount not applicable</v>
      </c>
      <c r="H105" s="147" t="b">
        <f t="shared" ref="H105:H129" si="14">IF(E105&gt;20,C105*E105*0.05)</f>
        <v>0</v>
      </c>
      <c r="I105" s="164">
        <f t="shared" si="10"/>
        <v>15.5</v>
      </c>
      <c r="J105" s="11"/>
      <c r="K105" s="11"/>
      <c r="L105" s="11"/>
      <c r="M105" s="11"/>
      <c r="N105" s="11"/>
    </row>
    <row r="106" spans="1:14" ht="30" customHeight="1" thickBot="1">
      <c r="A106" s="54" t="s">
        <v>80</v>
      </c>
      <c r="B106" s="66" t="s">
        <v>4</v>
      </c>
      <c r="C106" s="116">
        <f t="shared" si="11"/>
        <v>20</v>
      </c>
      <c r="D106" s="114"/>
      <c r="E106" s="55">
        <v>1</v>
      </c>
      <c r="F106" s="162" t="str">
        <f t="shared" si="12"/>
        <v>Coach 1</v>
      </c>
      <c r="G106" s="163" t="str">
        <f t="shared" si="13"/>
        <v>Discount not applicable</v>
      </c>
      <c r="H106" s="147" t="b">
        <f t="shared" si="14"/>
        <v>0</v>
      </c>
      <c r="I106" s="164">
        <f t="shared" si="10"/>
        <v>20</v>
      </c>
      <c r="J106" s="11"/>
      <c r="K106" s="11"/>
      <c r="L106" s="11"/>
      <c r="M106" s="11"/>
      <c r="N106" s="11"/>
    </row>
    <row r="107" spans="1:14" ht="30" customHeight="1" thickBot="1">
      <c r="A107" s="54" t="s">
        <v>81</v>
      </c>
      <c r="B107" s="67" t="s">
        <v>216</v>
      </c>
      <c r="C107" s="116">
        <f t="shared" si="11"/>
        <v>7.9249999999999998</v>
      </c>
      <c r="D107" s="114"/>
      <c r="E107" s="55">
        <v>1</v>
      </c>
      <c r="F107" s="162" t="str">
        <f t="shared" si="12"/>
        <v>Coach 1</v>
      </c>
      <c r="G107" s="163" t="str">
        <f t="shared" si="13"/>
        <v>Discount not applicable</v>
      </c>
      <c r="H107" s="147" t="b">
        <f t="shared" si="14"/>
        <v>0</v>
      </c>
      <c r="I107" s="164">
        <f t="shared" si="10"/>
        <v>7.9249999999999998</v>
      </c>
      <c r="J107" s="11"/>
      <c r="K107" s="11"/>
      <c r="L107" s="11"/>
      <c r="M107" s="11"/>
      <c r="N107" s="11"/>
    </row>
    <row r="108" spans="1:14" ht="30" customHeight="1" thickBot="1">
      <c r="A108" s="54" t="s">
        <v>82</v>
      </c>
      <c r="B108" s="67" t="s">
        <v>217</v>
      </c>
      <c r="C108" s="116">
        <f t="shared" si="11"/>
        <v>7.75</v>
      </c>
      <c r="D108" s="114"/>
      <c r="E108" s="55">
        <v>1</v>
      </c>
      <c r="F108" s="162" t="str">
        <f t="shared" si="12"/>
        <v>Coach 1</v>
      </c>
      <c r="G108" s="163" t="str">
        <f t="shared" si="13"/>
        <v>Discount not applicable</v>
      </c>
      <c r="H108" s="147" t="b">
        <f t="shared" si="14"/>
        <v>0</v>
      </c>
      <c r="I108" s="164">
        <f t="shared" si="10"/>
        <v>7.75</v>
      </c>
      <c r="J108" s="11"/>
      <c r="K108" s="11"/>
      <c r="L108" s="11"/>
      <c r="M108" s="11"/>
      <c r="N108" s="11"/>
    </row>
    <row r="109" spans="1:14" ht="30" customHeight="1" thickBot="1">
      <c r="A109" s="54" t="s">
        <v>237</v>
      </c>
      <c r="B109" s="68" t="s">
        <v>218</v>
      </c>
      <c r="C109" s="116">
        <f t="shared" si="11"/>
        <v>20.75</v>
      </c>
      <c r="D109" s="114"/>
      <c r="E109" s="55">
        <v>1</v>
      </c>
      <c r="F109" s="162" t="str">
        <f t="shared" si="12"/>
        <v>Coach 1</v>
      </c>
      <c r="G109" s="163" t="str">
        <f t="shared" si="13"/>
        <v>Discount not applicable</v>
      </c>
      <c r="H109" s="147" t="b">
        <f t="shared" si="14"/>
        <v>0</v>
      </c>
      <c r="I109" s="164">
        <f t="shared" si="10"/>
        <v>20.75</v>
      </c>
      <c r="J109" s="11"/>
      <c r="K109" s="11"/>
      <c r="L109" s="11"/>
      <c r="M109" s="11"/>
      <c r="N109" s="11"/>
    </row>
    <row r="110" spans="1:14" ht="30" customHeight="1" thickBot="1">
      <c r="A110" s="54" t="s">
        <v>238</v>
      </c>
      <c r="B110" s="68" t="s">
        <v>219</v>
      </c>
      <c r="C110" s="116">
        <f t="shared" si="11"/>
        <v>12.5</v>
      </c>
      <c r="D110" s="114"/>
      <c r="E110" s="55">
        <v>1</v>
      </c>
      <c r="F110" s="162" t="str">
        <f t="shared" si="12"/>
        <v>Coach 1</v>
      </c>
      <c r="G110" s="163" t="str">
        <f t="shared" si="13"/>
        <v>Discount not applicable</v>
      </c>
      <c r="H110" s="147" t="b">
        <f t="shared" si="14"/>
        <v>0</v>
      </c>
      <c r="I110" s="164">
        <f t="shared" si="10"/>
        <v>12.5</v>
      </c>
      <c r="J110" s="11"/>
      <c r="K110" s="11"/>
      <c r="L110" s="11"/>
      <c r="M110" s="11"/>
      <c r="N110" s="11"/>
    </row>
    <row r="111" spans="1:14" ht="30" customHeight="1" thickBot="1">
      <c r="A111" s="54" t="s">
        <v>239</v>
      </c>
      <c r="B111" s="68" t="s">
        <v>220</v>
      </c>
      <c r="C111" s="116">
        <f t="shared" si="11"/>
        <v>10</v>
      </c>
      <c r="D111" s="114"/>
      <c r="E111" s="55">
        <v>1</v>
      </c>
      <c r="F111" s="162" t="str">
        <f t="shared" si="12"/>
        <v>Coach 1</v>
      </c>
      <c r="G111" s="163" t="str">
        <f t="shared" si="13"/>
        <v>Discount not applicable</v>
      </c>
      <c r="H111" s="147" t="b">
        <f t="shared" si="14"/>
        <v>0</v>
      </c>
      <c r="I111" s="164">
        <f t="shared" si="10"/>
        <v>10</v>
      </c>
      <c r="J111" s="11"/>
      <c r="K111" s="11"/>
      <c r="L111" s="11"/>
      <c r="M111" s="11"/>
      <c r="N111" s="11"/>
    </row>
    <row r="112" spans="1:14" ht="30" customHeight="1" thickBot="1">
      <c r="A112" s="54" t="s">
        <v>240</v>
      </c>
      <c r="B112" s="68" t="s">
        <v>221</v>
      </c>
      <c r="C112" s="116">
        <f t="shared" si="11"/>
        <v>5.75</v>
      </c>
      <c r="D112" s="114"/>
      <c r="E112" s="55">
        <v>1</v>
      </c>
      <c r="F112" s="162" t="str">
        <f t="shared" si="12"/>
        <v>Coach 1</v>
      </c>
      <c r="G112" s="163" t="str">
        <f t="shared" si="13"/>
        <v>Discount not applicable</v>
      </c>
      <c r="H112" s="147" t="b">
        <f t="shared" si="14"/>
        <v>0</v>
      </c>
      <c r="I112" s="164">
        <f t="shared" si="10"/>
        <v>5.75</v>
      </c>
      <c r="J112" s="11"/>
      <c r="K112" s="11"/>
      <c r="L112" s="11"/>
      <c r="M112" s="11"/>
      <c r="N112" s="11"/>
    </row>
    <row r="113" spans="1:14" ht="30" customHeight="1" thickBot="1">
      <c r="A113" s="54" t="s">
        <v>241</v>
      </c>
      <c r="B113" s="69" t="s">
        <v>222</v>
      </c>
      <c r="C113" s="116">
        <f t="shared" si="11"/>
        <v>12.25</v>
      </c>
      <c r="D113" s="114"/>
      <c r="E113" s="55">
        <v>1</v>
      </c>
      <c r="F113" s="162" t="str">
        <f t="shared" si="12"/>
        <v>Coach 1</v>
      </c>
      <c r="G113" s="163" t="str">
        <f t="shared" si="13"/>
        <v>Discount not applicable</v>
      </c>
      <c r="H113" s="147" t="b">
        <f t="shared" si="14"/>
        <v>0</v>
      </c>
      <c r="I113" s="164">
        <f t="shared" si="10"/>
        <v>12.25</v>
      </c>
      <c r="J113" s="11"/>
      <c r="K113" s="11"/>
      <c r="L113" s="11"/>
      <c r="M113" s="11"/>
      <c r="N113" s="11"/>
    </row>
    <row r="114" spans="1:14" ht="30" customHeight="1" thickBot="1">
      <c r="A114" s="54" t="s">
        <v>242</v>
      </c>
      <c r="B114" s="69" t="s">
        <v>223</v>
      </c>
      <c r="C114" s="116">
        <f t="shared" si="11"/>
        <v>8.75</v>
      </c>
      <c r="D114" s="114"/>
      <c r="E114" s="55">
        <v>1</v>
      </c>
      <c r="F114" s="162" t="str">
        <f t="shared" si="12"/>
        <v>Coach 1</v>
      </c>
      <c r="G114" s="163" t="str">
        <f t="shared" si="13"/>
        <v>Discount not applicable</v>
      </c>
      <c r="H114" s="147" t="b">
        <f t="shared" si="14"/>
        <v>0</v>
      </c>
      <c r="I114" s="164">
        <f t="shared" si="10"/>
        <v>8.75</v>
      </c>
      <c r="J114" s="11"/>
      <c r="K114" s="11"/>
      <c r="L114" s="11"/>
      <c r="M114" s="11"/>
      <c r="N114" s="11"/>
    </row>
    <row r="115" spans="1:14" ht="30" customHeight="1" thickBot="1">
      <c r="A115" s="54" t="s">
        <v>243</v>
      </c>
      <c r="B115" s="69" t="s">
        <v>224</v>
      </c>
      <c r="C115" s="116">
        <f t="shared" si="11"/>
        <v>12.5</v>
      </c>
      <c r="D115" s="114"/>
      <c r="E115" s="55">
        <v>1</v>
      </c>
      <c r="F115" s="162" t="str">
        <f t="shared" si="12"/>
        <v>Coach 1</v>
      </c>
      <c r="G115" s="163" t="str">
        <f t="shared" si="13"/>
        <v>Discount not applicable</v>
      </c>
      <c r="H115" s="147" t="b">
        <f t="shared" si="14"/>
        <v>0</v>
      </c>
      <c r="I115" s="164">
        <f t="shared" si="10"/>
        <v>12.5</v>
      </c>
      <c r="J115" s="11"/>
      <c r="K115" s="11"/>
      <c r="L115" s="11"/>
      <c r="M115" s="11"/>
      <c r="N115" s="11"/>
    </row>
    <row r="116" spans="1:14" ht="30" customHeight="1" thickBot="1">
      <c r="A116" s="54" t="s">
        <v>244</v>
      </c>
      <c r="B116" s="69" t="s">
        <v>225</v>
      </c>
      <c r="C116" s="116">
        <f t="shared" si="11"/>
        <v>10</v>
      </c>
      <c r="D116" s="114"/>
      <c r="E116" s="55">
        <v>1</v>
      </c>
      <c r="F116" s="162" t="str">
        <f t="shared" si="12"/>
        <v>Coach 1</v>
      </c>
      <c r="G116" s="163" t="str">
        <f t="shared" si="13"/>
        <v>Discount not applicable</v>
      </c>
      <c r="H116" s="147" t="b">
        <f t="shared" si="14"/>
        <v>0</v>
      </c>
      <c r="I116" s="164">
        <f t="shared" si="10"/>
        <v>10</v>
      </c>
      <c r="J116" s="11"/>
      <c r="K116" s="11"/>
      <c r="L116" s="11"/>
      <c r="M116" s="11"/>
      <c r="N116" s="11"/>
    </row>
    <row r="117" spans="1:14" ht="30" customHeight="1" thickBot="1">
      <c r="A117" s="54" t="s">
        <v>245</v>
      </c>
      <c r="B117" s="69" t="s">
        <v>236</v>
      </c>
      <c r="C117" s="116">
        <f t="shared" si="11"/>
        <v>5.75</v>
      </c>
      <c r="D117" s="114"/>
      <c r="E117" s="55">
        <v>1</v>
      </c>
      <c r="F117" s="162" t="str">
        <f t="shared" si="12"/>
        <v>Coach 1</v>
      </c>
      <c r="G117" s="163" t="str">
        <f t="shared" si="13"/>
        <v>Discount not applicable</v>
      </c>
      <c r="H117" s="147" t="b">
        <f t="shared" si="14"/>
        <v>0</v>
      </c>
      <c r="I117" s="164">
        <f t="shared" si="10"/>
        <v>5.75</v>
      </c>
      <c r="J117" s="11"/>
      <c r="K117" s="11"/>
      <c r="L117" s="11"/>
      <c r="M117" s="11"/>
      <c r="N117" s="11"/>
    </row>
    <row r="118" spans="1:14" ht="30" customHeight="1" thickBot="1">
      <c r="A118" s="54" t="s">
        <v>246</v>
      </c>
      <c r="B118" s="70" t="s">
        <v>2</v>
      </c>
      <c r="C118" s="116">
        <f t="shared" si="11"/>
        <v>10.5</v>
      </c>
      <c r="D118" s="114"/>
      <c r="E118" s="55">
        <v>1</v>
      </c>
      <c r="F118" s="162" t="str">
        <f t="shared" si="12"/>
        <v>Coach 1</v>
      </c>
      <c r="G118" s="163" t="str">
        <f t="shared" si="13"/>
        <v>Discount not applicable</v>
      </c>
      <c r="H118" s="147" t="b">
        <f t="shared" si="14"/>
        <v>0</v>
      </c>
      <c r="I118" s="164">
        <f t="shared" si="10"/>
        <v>10.5</v>
      </c>
      <c r="J118" s="11"/>
      <c r="K118" s="11"/>
      <c r="L118" s="11"/>
      <c r="M118" s="11"/>
      <c r="N118" s="11"/>
    </row>
    <row r="119" spans="1:14" ht="30" customHeight="1" thickBot="1">
      <c r="A119" s="54" t="s">
        <v>247</v>
      </c>
      <c r="B119" s="70" t="s">
        <v>3</v>
      </c>
      <c r="C119" s="116">
        <f t="shared" si="11"/>
        <v>13.25</v>
      </c>
      <c r="D119" s="114"/>
      <c r="E119" s="55">
        <v>1</v>
      </c>
      <c r="F119" s="162" t="str">
        <f t="shared" si="12"/>
        <v>Coach 1</v>
      </c>
      <c r="G119" s="163" t="str">
        <f t="shared" si="13"/>
        <v>Discount not applicable</v>
      </c>
      <c r="H119" s="147" t="b">
        <f t="shared" si="14"/>
        <v>0</v>
      </c>
      <c r="I119" s="164">
        <f t="shared" si="10"/>
        <v>13.25</v>
      </c>
      <c r="J119" s="11"/>
      <c r="K119" s="11"/>
      <c r="L119" s="11"/>
      <c r="M119" s="11"/>
      <c r="N119" s="11"/>
    </row>
    <row r="120" spans="1:14" ht="30" customHeight="1" thickBot="1">
      <c r="A120" s="54" t="s">
        <v>248</v>
      </c>
      <c r="B120" s="71" t="s">
        <v>226</v>
      </c>
      <c r="C120" s="116">
        <f t="shared" si="11"/>
        <v>9.75</v>
      </c>
      <c r="D120" s="114"/>
      <c r="E120" s="55">
        <v>1</v>
      </c>
      <c r="F120" s="162" t="str">
        <f t="shared" si="12"/>
        <v>Coach 1</v>
      </c>
      <c r="G120" s="163" t="str">
        <f t="shared" si="13"/>
        <v>Discount not applicable</v>
      </c>
      <c r="H120" s="147" t="b">
        <f t="shared" si="14"/>
        <v>0</v>
      </c>
      <c r="I120" s="164">
        <f t="shared" si="10"/>
        <v>9.75</v>
      </c>
      <c r="J120" s="11"/>
      <c r="K120" s="11"/>
      <c r="L120" s="11"/>
      <c r="M120" s="11"/>
      <c r="N120" s="11"/>
    </row>
    <row r="121" spans="1:14" ht="30" customHeight="1" thickBot="1">
      <c r="A121" s="54" t="s">
        <v>249</v>
      </c>
      <c r="B121" s="72" t="s">
        <v>227</v>
      </c>
      <c r="C121" s="116">
        <f t="shared" si="11"/>
        <v>13.25</v>
      </c>
      <c r="D121" s="114"/>
      <c r="E121" s="55">
        <v>1</v>
      </c>
      <c r="F121" s="162" t="str">
        <f t="shared" si="12"/>
        <v>Coach 1</v>
      </c>
      <c r="G121" s="163" t="str">
        <f t="shared" si="13"/>
        <v>Discount not applicable</v>
      </c>
      <c r="H121" s="147" t="b">
        <f t="shared" si="14"/>
        <v>0</v>
      </c>
      <c r="I121" s="164">
        <f t="shared" si="10"/>
        <v>13.25</v>
      </c>
      <c r="J121" s="11"/>
      <c r="K121" s="11"/>
      <c r="L121" s="11"/>
      <c r="M121" s="11"/>
      <c r="N121" s="11"/>
    </row>
    <row r="122" spans="1:14" ht="30" customHeight="1" thickBot="1">
      <c r="A122" s="54" t="s">
        <v>250</v>
      </c>
      <c r="B122" s="72" t="s">
        <v>228</v>
      </c>
      <c r="C122" s="116">
        <f t="shared" si="11"/>
        <v>13.75</v>
      </c>
      <c r="D122" s="114"/>
      <c r="E122" s="55">
        <v>1</v>
      </c>
      <c r="F122" s="162" t="str">
        <f t="shared" si="12"/>
        <v>Coach 1</v>
      </c>
      <c r="G122" s="163" t="str">
        <f t="shared" si="13"/>
        <v>Discount not applicable</v>
      </c>
      <c r="H122" s="147" t="b">
        <f t="shared" si="14"/>
        <v>0</v>
      </c>
      <c r="I122" s="164">
        <f t="shared" si="10"/>
        <v>13.75</v>
      </c>
      <c r="J122" s="11"/>
      <c r="K122" s="11"/>
      <c r="L122" s="11"/>
      <c r="M122" s="11"/>
      <c r="N122" s="11"/>
    </row>
    <row r="123" spans="1:14" ht="30" customHeight="1" thickBot="1">
      <c r="A123" s="54" t="s">
        <v>251</v>
      </c>
      <c r="B123" s="72" t="s">
        <v>229</v>
      </c>
      <c r="C123" s="116">
        <f t="shared" si="11"/>
        <v>15.25</v>
      </c>
      <c r="D123" s="114"/>
      <c r="E123" s="55">
        <v>1</v>
      </c>
      <c r="F123" s="162" t="str">
        <f t="shared" si="12"/>
        <v>Coach 1</v>
      </c>
      <c r="G123" s="163" t="str">
        <f t="shared" si="13"/>
        <v>Discount not applicable</v>
      </c>
      <c r="H123" s="147" t="b">
        <f t="shared" si="14"/>
        <v>0</v>
      </c>
      <c r="I123" s="164">
        <f t="shared" si="10"/>
        <v>15.25</v>
      </c>
      <c r="J123" s="11"/>
      <c r="K123" s="11"/>
      <c r="L123" s="11"/>
      <c r="M123" s="11"/>
      <c r="N123" s="11"/>
    </row>
    <row r="124" spans="1:14" ht="30" customHeight="1" thickBot="1">
      <c r="A124" s="54" t="s">
        <v>252</v>
      </c>
      <c r="B124" s="72" t="s">
        <v>230</v>
      </c>
      <c r="C124" s="116">
        <f t="shared" si="11"/>
        <v>10.5</v>
      </c>
      <c r="D124" s="114"/>
      <c r="E124" s="55">
        <v>1</v>
      </c>
      <c r="F124" s="162" t="str">
        <f t="shared" si="12"/>
        <v>Coach 1</v>
      </c>
      <c r="G124" s="163" t="str">
        <f t="shared" si="13"/>
        <v>Discount not applicable</v>
      </c>
      <c r="H124" s="147" t="b">
        <f t="shared" si="14"/>
        <v>0</v>
      </c>
      <c r="I124" s="164">
        <f t="shared" si="10"/>
        <v>10.5</v>
      </c>
      <c r="J124" s="11"/>
      <c r="K124" s="11"/>
      <c r="L124" s="11"/>
      <c r="M124" s="11"/>
      <c r="N124" s="11"/>
    </row>
    <row r="125" spans="1:14" ht="30" customHeight="1" thickBot="1">
      <c r="A125" s="54" t="s">
        <v>253</v>
      </c>
      <c r="B125" s="73" t="s">
        <v>231</v>
      </c>
      <c r="C125" s="116">
        <f t="shared" si="11"/>
        <v>17.5</v>
      </c>
      <c r="D125" s="114"/>
      <c r="E125" s="55">
        <v>1</v>
      </c>
      <c r="F125" s="162" t="str">
        <f t="shared" si="12"/>
        <v>Coach 1</v>
      </c>
      <c r="G125" s="163" t="str">
        <f t="shared" si="13"/>
        <v>Discount not applicable</v>
      </c>
      <c r="H125" s="147" t="b">
        <f t="shared" si="14"/>
        <v>0</v>
      </c>
      <c r="I125" s="164">
        <f t="shared" si="10"/>
        <v>17.5</v>
      </c>
      <c r="J125" s="11"/>
      <c r="K125" s="11"/>
      <c r="L125" s="11"/>
      <c r="M125" s="11"/>
      <c r="N125" s="11"/>
    </row>
    <row r="126" spans="1:14" ht="30" customHeight="1" thickBot="1">
      <c r="A126" s="54" t="s">
        <v>254</v>
      </c>
      <c r="B126" s="73" t="s">
        <v>232</v>
      </c>
      <c r="C126" s="116">
        <f t="shared" si="11"/>
        <v>12.55</v>
      </c>
      <c r="D126" s="114"/>
      <c r="E126" s="55">
        <v>1</v>
      </c>
      <c r="F126" s="162" t="str">
        <f t="shared" si="12"/>
        <v>Coach 1</v>
      </c>
      <c r="G126" s="163" t="str">
        <f t="shared" si="13"/>
        <v>Discount not applicable</v>
      </c>
      <c r="H126" s="147" t="b">
        <f t="shared" si="14"/>
        <v>0</v>
      </c>
      <c r="I126" s="164">
        <f t="shared" si="10"/>
        <v>12.55</v>
      </c>
      <c r="J126" s="11"/>
      <c r="K126" s="11"/>
      <c r="L126" s="11"/>
      <c r="M126" s="11"/>
      <c r="N126" s="11"/>
    </row>
    <row r="127" spans="1:14" ht="30" customHeight="1" thickBot="1">
      <c r="A127" s="54" t="s">
        <v>255</v>
      </c>
      <c r="B127" s="74" t="s">
        <v>233</v>
      </c>
      <c r="C127" s="116">
        <f t="shared" si="11"/>
        <v>10.5</v>
      </c>
      <c r="D127" s="114"/>
      <c r="E127" s="55">
        <v>1</v>
      </c>
      <c r="F127" s="162" t="str">
        <f t="shared" si="12"/>
        <v>Coach 1</v>
      </c>
      <c r="G127" s="163" t="str">
        <f t="shared" si="13"/>
        <v>Discount not applicable</v>
      </c>
      <c r="H127" s="147" t="b">
        <f t="shared" si="14"/>
        <v>0</v>
      </c>
      <c r="I127" s="164">
        <f t="shared" si="10"/>
        <v>10.5</v>
      </c>
      <c r="J127" s="11"/>
      <c r="K127" s="11"/>
      <c r="L127" s="11"/>
      <c r="M127" s="11"/>
      <c r="N127" s="11"/>
    </row>
    <row r="128" spans="1:14" ht="30" customHeight="1" thickBot="1">
      <c r="A128" s="54" t="s">
        <v>256</v>
      </c>
      <c r="B128" s="74" t="s">
        <v>234</v>
      </c>
      <c r="C128" s="116">
        <f t="shared" si="11"/>
        <v>11.5</v>
      </c>
      <c r="D128" s="114"/>
      <c r="E128" s="55">
        <v>1</v>
      </c>
      <c r="F128" s="162" t="str">
        <f t="shared" si="12"/>
        <v>Coach 1</v>
      </c>
      <c r="G128" s="163" t="str">
        <f t="shared" si="13"/>
        <v>Discount not applicable</v>
      </c>
      <c r="H128" s="147" t="b">
        <f t="shared" si="14"/>
        <v>0</v>
      </c>
      <c r="I128" s="164">
        <f t="shared" si="10"/>
        <v>11.5</v>
      </c>
      <c r="J128" s="11"/>
      <c r="K128" s="11"/>
      <c r="L128" s="11"/>
      <c r="M128" s="11"/>
      <c r="N128" s="11"/>
    </row>
    <row r="129" spans="1:14" ht="30" customHeight="1" thickBot="1">
      <c r="A129" s="54" t="s">
        <v>257</v>
      </c>
      <c r="B129" s="74" t="s">
        <v>235</v>
      </c>
      <c r="C129" s="116">
        <f t="shared" si="11"/>
        <v>8.75</v>
      </c>
      <c r="D129" s="114"/>
      <c r="E129" s="55">
        <v>1</v>
      </c>
      <c r="F129" s="162" t="str">
        <f t="shared" si="12"/>
        <v>Coach 1</v>
      </c>
      <c r="G129" s="163" t="str">
        <f t="shared" si="13"/>
        <v>Discount not applicable</v>
      </c>
      <c r="H129" s="147" t="b">
        <f t="shared" si="14"/>
        <v>0</v>
      </c>
      <c r="I129" s="164">
        <f t="shared" si="10"/>
        <v>8.75</v>
      </c>
      <c r="J129" s="11"/>
      <c r="K129" s="11"/>
      <c r="L129" s="11"/>
      <c r="M129" s="11"/>
      <c r="N129" s="11"/>
    </row>
    <row r="130" spans="1:14">
      <c r="A130" s="11"/>
      <c r="B130" s="23"/>
      <c r="C130" s="23"/>
      <c r="D130" s="23"/>
      <c r="E130" s="23"/>
      <c r="F130" s="23"/>
      <c r="G130" s="23"/>
      <c r="H130" s="23"/>
      <c r="I130" s="23"/>
      <c r="J130" s="11"/>
      <c r="K130" s="11"/>
      <c r="L130" s="11"/>
      <c r="M130" s="11"/>
      <c r="N130" s="11"/>
    </row>
    <row r="131" spans="1:14">
      <c r="A131" s="11"/>
      <c r="B131" s="23"/>
      <c r="C131" s="23"/>
      <c r="D131" s="23"/>
      <c r="E131" s="23"/>
      <c r="F131" s="23"/>
      <c r="G131" s="23"/>
      <c r="H131" s="23"/>
      <c r="I131" s="23"/>
      <c r="J131" s="11"/>
      <c r="K131" s="11"/>
      <c r="L131" s="11"/>
      <c r="M131" s="11"/>
      <c r="N131" s="11"/>
    </row>
    <row r="132" spans="1:14">
      <c r="A132" s="11"/>
      <c r="B132" s="23"/>
      <c r="C132" s="23"/>
      <c r="D132" s="23"/>
      <c r="E132" s="23"/>
      <c r="F132" s="23"/>
      <c r="G132" s="23"/>
      <c r="H132" s="23"/>
      <c r="I132" s="23"/>
      <c r="J132" s="11"/>
      <c r="K132" s="11"/>
      <c r="L132" s="11"/>
      <c r="M132" s="11"/>
      <c r="N132" s="11"/>
    </row>
    <row r="133" spans="1:14">
      <c r="A133" s="11"/>
      <c r="B133" s="23"/>
      <c r="C133" s="23"/>
      <c r="D133" s="23"/>
      <c r="E133" s="23"/>
      <c r="F133" s="23"/>
      <c r="G133" s="23"/>
      <c r="H133" s="23"/>
      <c r="I133" s="23"/>
      <c r="J133" s="11"/>
      <c r="K133" s="11"/>
      <c r="L133" s="11"/>
      <c r="M133" s="11"/>
      <c r="N133" s="11"/>
    </row>
    <row r="134" spans="1:14">
      <c r="A134" s="11"/>
      <c r="B134" s="23"/>
      <c r="C134" s="23"/>
      <c r="D134" s="23"/>
      <c r="E134" s="23"/>
      <c r="F134" s="23"/>
      <c r="G134" s="23"/>
      <c r="H134" s="23"/>
      <c r="I134" s="23"/>
      <c r="J134" s="11"/>
      <c r="K134" s="11"/>
      <c r="L134" s="11"/>
      <c r="M134" s="11"/>
      <c r="N134" s="11"/>
    </row>
    <row r="135" spans="1:14">
      <c r="A135" s="11"/>
      <c r="B135" s="23"/>
      <c r="C135" s="23"/>
      <c r="D135" s="23"/>
      <c r="E135" s="23"/>
      <c r="F135" s="23"/>
      <c r="G135" s="23"/>
      <c r="H135" s="23"/>
      <c r="I135" s="23"/>
      <c r="J135" s="11"/>
      <c r="K135" s="11"/>
      <c r="L135" s="11"/>
      <c r="M135" s="11"/>
      <c r="N135" s="11"/>
    </row>
    <row r="136" spans="1:14">
      <c r="A136" s="11"/>
      <c r="B136" s="23"/>
      <c r="C136" s="23"/>
      <c r="D136" s="23"/>
      <c r="E136" s="23"/>
      <c r="F136" s="23"/>
      <c r="G136" s="23"/>
      <c r="H136" s="23"/>
      <c r="I136" s="23"/>
      <c r="J136" s="11"/>
      <c r="K136" s="11"/>
      <c r="L136" s="11"/>
      <c r="M136" s="11"/>
      <c r="N136" s="11"/>
    </row>
    <row r="137" spans="1:14">
      <c r="A137" s="11"/>
      <c r="B137" s="23"/>
      <c r="C137" s="23"/>
      <c r="D137" s="23"/>
      <c r="E137" s="23"/>
      <c r="F137" s="23"/>
      <c r="G137" s="23"/>
      <c r="H137" s="23"/>
      <c r="I137" s="23"/>
      <c r="J137" s="11"/>
      <c r="K137" s="11"/>
      <c r="L137" s="11"/>
      <c r="M137" s="11"/>
      <c r="N137" s="11"/>
    </row>
    <row r="138" spans="1:14">
      <c r="A138" s="11"/>
      <c r="B138" s="23"/>
      <c r="C138" s="23"/>
      <c r="D138" s="23"/>
      <c r="E138" s="23"/>
      <c r="F138" s="23"/>
      <c r="G138" s="23"/>
      <c r="H138" s="23"/>
      <c r="I138" s="23"/>
      <c r="J138" s="11"/>
      <c r="K138" s="11"/>
      <c r="L138" s="11"/>
      <c r="M138" s="11"/>
      <c r="N138" s="11"/>
    </row>
    <row r="139" spans="1:14">
      <c r="A139" s="11"/>
      <c r="B139" s="23"/>
      <c r="C139" s="23"/>
      <c r="D139" s="23"/>
      <c r="E139" s="23"/>
      <c r="F139" s="23"/>
      <c r="G139" s="23"/>
      <c r="H139" s="23"/>
      <c r="I139" s="23"/>
      <c r="J139" s="11"/>
      <c r="K139" s="11"/>
      <c r="L139" s="11"/>
      <c r="M139" s="11"/>
      <c r="N139" s="11"/>
    </row>
    <row r="140" spans="1:14">
      <c r="A140" s="11"/>
      <c r="B140" s="23"/>
      <c r="C140" s="23"/>
      <c r="D140" s="23"/>
      <c r="E140" s="23"/>
      <c r="F140" s="23"/>
      <c r="G140" s="23"/>
      <c r="H140" s="23"/>
      <c r="I140" s="23"/>
      <c r="J140" s="11"/>
      <c r="K140" s="11"/>
      <c r="L140" s="11"/>
      <c r="M140" s="11"/>
      <c r="N140" s="11"/>
    </row>
    <row r="141" spans="1:14">
      <c r="A141" s="11"/>
      <c r="B141" s="23"/>
      <c r="C141" s="23"/>
      <c r="D141" s="23"/>
      <c r="E141" s="23"/>
      <c r="F141" s="23"/>
      <c r="G141" s="23"/>
      <c r="H141" s="23"/>
      <c r="I141" s="23"/>
      <c r="J141" s="11"/>
      <c r="K141" s="11"/>
      <c r="L141" s="11"/>
      <c r="M141" s="11"/>
      <c r="N141" s="11"/>
    </row>
    <row r="142" spans="1:14">
      <c r="A142" s="11"/>
      <c r="B142" s="23"/>
      <c r="C142" s="23"/>
      <c r="D142" s="23"/>
      <c r="E142" s="23"/>
      <c r="F142" s="23"/>
      <c r="G142" s="23"/>
      <c r="H142" s="23"/>
      <c r="I142" s="23"/>
      <c r="J142" s="11"/>
      <c r="K142" s="11"/>
      <c r="L142" s="11"/>
      <c r="M142" s="11"/>
      <c r="N142" s="11"/>
    </row>
    <row r="143" spans="1:14">
      <c r="A143" s="11"/>
      <c r="B143" s="23"/>
      <c r="C143" s="23"/>
      <c r="D143" s="23"/>
      <c r="E143" s="23"/>
      <c r="F143" s="23"/>
      <c r="G143" s="23"/>
      <c r="H143" s="23"/>
      <c r="I143" s="23"/>
      <c r="J143" s="11"/>
      <c r="K143" s="11"/>
      <c r="L143" s="11"/>
      <c r="M143" s="11"/>
      <c r="N143" s="11"/>
    </row>
    <row r="144" spans="1:14">
      <c r="A144" s="11"/>
      <c r="B144" s="23"/>
      <c r="C144" s="23"/>
      <c r="D144" s="23"/>
      <c r="E144" s="23"/>
      <c r="F144" s="23"/>
      <c r="G144" s="23"/>
      <c r="H144" s="23"/>
      <c r="I144" s="23"/>
      <c r="J144" s="11"/>
      <c r="K144" s="11"/>
      <c r="L144" s="11"/>
      <c r="M144" s="11"/>
      <c r="N144" s="11"/>
    </row>
    <row r="145" spans="1:14">
      <c r="A145" s="11"/>
      <c r="B145" s="23"/>
      <c r="C145" s="23"/>
      <c r="D145" s="23"/>
      <c r="E145" s="23"/>
      <c r="F145" s="23"/>
      <c r="G145" s="23"/>
      <c r="H145" s="23"/>
      <c r="I145" s="23"/>
      <c r="J145" s="11"/>
      <c r="K145" s="11"/>
      <c r="L145" s="11"/>
      <c r="M145" s="11"/>
      <c r="N145" s="11"/>
    </row>
    <row r="146" spans="1:14">
      <c r="A146" s="11"/>
      <c r="B146" s="23"/>
      <c r="C146" s="23"/>
      <c r="D146" s="23"/>
      <c r="E146" s="23"/>
      <c r="F146" s="23"/>
      <c r="G146" s="23"/>
      <c r="H146" s="23"/>
      <c r="I146" s="23"/>
      <c r="J146" s="11"/>
      <c r="K146" s="11"/>
      <c r="L146" s="11"/>
      <c r="M146" s="11"/>
      <c r="N146" s="11"/>
    </row>
    <row r="147" spans="1:14">
      <c r="A147" s="11"/>
      <c r="B147" s="23"/>
      <c r="C147" s="23"/>
      <c r="D147" s="23"/>
      <c r="E147" s="23"/>
      <c r="F147" s="23"/>
      <c r="G147" s="23"/>
      <c r="H147" s="23"/>
      <c r="I147" s="23"/>
      <c r="J147" s="11"/>
      <c r="K147" s="11"/>
      <c r="L147" s="11"/>
      <c r="M147" s="11"/>
      <c r="N147" s="11"/>
    </row>
    <row r="148" spans="1:14">
      <c r="A148" s="11"/>
      <c r="B148" s="23"/>
      <c r="C148" s="23"/>
      <c r="D148" s="23"/>
      <c r="E148" s="23"/>
      <c r="F148" s="23"/>
      <c r="G148" s="23"/>
      <c r="H148" s="23"/>
      <c r="I148" s="23"/>
      <c r="J148" s="11"/>
      <c r="K148" s="11"/>
      <c r="L148" s="11"/>
      <c r="M148" s="11"/>
      <c r="N148" s="11"/>
    </row>
    <row r="149" spans="1:14">
      <c r="A149" s="11"/>
      <c r="B149" s="23"/>
      <c r="C149" s="23"/>
      <c r="D149" s="23"/>
      <c r="E149" s="23"/>
      <c r="F149" s="23"/>
      <c r="G149" s="23"/>
      <c r="H149" s="23"/>
      <c r="I149" s="23"/>
      <c r="J149" s="11"/>
      <c r="K149" s="11"/>
      <c r="L149" s="11"/>
      <c r="M149" s="11"/>
      <c r="N149" s="11"/>
    </row>
    <row r="150" spans="1:14">
      <c r="A150" s="11"/>
      <c r="B150" s="23"/>
      <c r="C150" s="23"/>
      <c r="D150" s="23"/>
      <c r="E150" s="23"/>
      <c r="F150" s="23"/>
      <c r="G150" s="23"/>
      <c r="H150" s="23"/>
      <c r="I150" s="23"/>
      <c r="J150" s="11"/>
      <c r="K150" s="11"/>
      <c r="L150" s="11"/>
      <c r="M150" s="11"/>
      <c r="N150" s="11"/>
    </row>
    <row r="151" spans="1:14">
      <c r="A151" s="11"/>
      <c r="B151" s="23"/>
      <c r="C151" s="23"/>
      <c r="D151" s="23"/>
      <c r="E151" s="23"/>
      <c r="F151" s="23"/>
      <c r="G151" s="23"/>
      <c r="H151" s="23"/>
      <c r="I151" s="23"/>
      <c r="J151" s="11"/>
      <c r="K151" s="11"/>
      <c r="L151" s="11"/>
      <c r="M151" s="11"/>
      <c r="N151" s="11"/>
    </row>
    <row r="152" spans="1:14">
      <c r="A152" s="11"/>
      <c r="B152" s="23"/>
      <c r="C152" s="23"/>
      <c r="D152" s="23"/>
      <c r="E152" s="23"/>
      <c r="F152" s="23"/>
      <c r="G152" s="23"/>
      <c r="H152" s="23"/>
      <c r="I152" s="23"/>
      <c r="J152" s="11"/>
      <c r="K152" s="11"/>
      <c r="L152" s="11"/>
      <c r="M152" s="11"/>
      <c r="N152" s="11"/>
    </row>
    <row r="153" spans="1:14">
      <c r="A153" s="11"/>
      <c r="B153" s="23"/>
      <c r="C153" s="23"/>
      <c r="D153" s="23"/>
      <c r="E153" s="23"/>
      <c r="F153" s="23"/>
      <c r="G153" s="23"/>
      <c r="H153" s="23"/>
      <c r="I153" s="23"/>
      <c r="J153" s="11"/>
      <c r="K153" s="11"/>
      <c r="L153" s="11"/>
      <c r="M153" s="11"/>
      <c r="N153" s="11"/>
    </row>
    <row r="154" spans="1:14">
      <c r="A154" s="11"/>
      <c r="B154" s="23"/>
      <c r="C154" s="23"/>
      <c r="D154" s="23"/>
      <c r="E154" s="23"/>
      <c r="F154" s="23"/>
      <c r="G154" s="23"/>
      <c r="H154" s="23"/>
      <c r="I154" s="23"/>
      <c r="J154" s="11"/>
      <c r="K154" s="11"/>
      <c r="L154" s="11"/>
      <c r="M154" s="11"/>
      <c r="N154" s="11"/>
    </row>
    <row r="155" spans="1:14">
      <c r="A155" s="11"/>
      <c r="B155" s="23"/>
      <c r="C155" s="23"/>
      <c r="D155" s="23"/>
      <c r="E155" s="23"/>
      <c r="F155" s="23"/>
      <c r="G155" s="23"/>
      <c r="H155" s="23"/>
      <c r="I155" s="23"/>
      <c r="J155" s="11"/>
      <c r="K155" s="11"/>
      <c r="L155" s="11"/>
      <c r="M155" s="11"/>
      <c r="N155" s="11"/>
    </row>
    <row r="156" spans="1:14">
      <c r="A156" s="11"/>
      <c r="B156" s="23"/>
      <c r="C156" s="23"/>
      <c r="D156" s="23"/>
      <c r="E156" s="23"/>
      <c r="F156" s="23"/>
      <c r="G156" s="23"/>
      <c r="H156" s="23"/>
      <c r="I156" s="23"/>
      <c r="J156" s="11"/>
      <c r="K156" s="11"/>
      <c r="L156" s="11"/>
      <c r="M156" s="11"/>
      <c r="N156" s="11"/>
    </row>
    <row r="157" spans="1:14">
      <c r="A157" s="11"/>
      <c r="B157" s="23"/>
      <c r="C157" s="23"/>
      <c r="D157" s="23"/>
      <c r="E157" s="23"/>
      <c r="F157" s="23"/>
      <c r="G157" s="23"/>
      <c r="H157" s="23"/>
      <c r="I157" s="23"/>
      <c r="J157" s="11"/>
      <c r="K157" s="11"/>
      <c r="L157" s="11"/>
      <c r="M157" s="11"/>
      <c r="N157" s="11"/>
    </row>
    <row r="158" spans="1:14">
      <c r="A158" s="11"/>
      <c r="B158" s="23"/>
      <c r="C158" s="23"/>
      <c r="D158" s="23"/>
      <c r="E158" s="23"/>
      <c r="F158" s="23"/>
      <c r="G158" s="23"/>
      <c r="H158" s="23"/>
      <c r="I158" s="23"/>
      <c r="J158" s="11"/>
      <c r="K158" s="11"/>
      <c r="L158" s="11"/>
      <c r="M158" s="11"/>
      <c r="N158" s="11"/>
    </row>
    <row r="159" spans="1:14">
      <c r="A159" s="11"/>
      <c r="B159" s="23"/>
      <c r="C159" s="23"/>
      <c r="D159" s="23"/>
      <c r="E159" s="23"/>
      <c r="F159" s="23"/>
      <c r="G159" s="23"/>
      <c r="H159" s="23"/>
      <c r="I159" s="23"/>
      <c r="J159" s="11"/>
      <c r="K159" s="11"/>
      <c r="L159" s="11"/>
      <c r="M159" s="11"/>
      <c r="N159" s="11"/>
    </row>
    <row r="160" spans="1:14">
      <c r="A160" s="11"/>
      <c r="B160" s="23"/>
      <c r="C160" s="23"/>
      <c r="D160" s="23"/>
      <c r="E160" s="23"/>
      <c r="F160" s="23"/>
      <c r="G160" s="23"/>
      <c r="H160" s="23"/>
      <c r="I160" s="23"/>
      <c r="J160" s="11"/>
      <c r="K160" s="11"/>
      <c r="L160" s="11"/>
      <c r="M160" s="11"/>
      <c r="N160" s="11"/>
    </row>
    <row r="161" spans="1:14">
      <c r="A161" s="11"/>
      <c r="B161" s="23"/>
      <c r="C161" s="23"/>
      <c r="D161" s="23"/>
      <c r="E161" s="23"/>
      <c r="F161" s="23"/>
      <c r="G161" s="23"/>
      <c r="H161" s="23"/>
      <c r="I161" s="23"/>
      <c r="J161" s="11"/>
      <c r="K161" s="11"/>
      <c r="L161" s="11"/>
      <c r="M161" s="11"/>
      <c r="N161" s="11"/>
    </row>
  </sheetData>
  <sheetProtection sheet="1" objects="1" scenarios="1" autoFilter="0"/>
  <dataConsolidate/>
  <mergeCells count="4">
    <mergeCell ref="A1:E9"/>
    <mergeCell ref="H1:L9"/>
    <mergeCell ref="M1:N15"/>
    <mergeCell ref="J17:K17"/>
  </mergeCells>
  <conditionalFormatting sqref="C103:D103 C38:H38 C66:F66 E39:G39 E67:F67 E40:E42 G40:G42 F40:F64 E68:E70 F68:F92 C10:G36">
    <cfRule type="expression" dxfId="24" priority="39" stopIfTrue="1">
      <formula>(MOD(COLUMN(),3)=1)</formula>
    </cfRule>
    <cfRule type="expression" dxfId="23" priority="40" stopIfTrue="1">
      <formula>(MOD(COLUMN(),3)=2)</formula>
    </cfRule>
  </conditionalFormatting>
  <conditionalFormatting sqref="E103 E104:G129">
    <cfRule type="expression" dxfId="22" priority="37" stopIfTrue="1">
      <formula>(MOD(COLUMN(),3)=1)</formula>
    </cfRule>
    <cfRule type="expression" dxfId="21" priority="38" stopIfTrue="1">
      <formula>(MOD(COLUMN(),3)=2)</formula>
    </cfRule>
  </conditionalFormatting>
  <conditionalFormatting sqref="I103">
    <cfRule type="expression" dxfId="20" priority="35" stopIfTrue="1">
      <formula>(MOD(COLUMN(),3)=1)</formula>
    </cfRule>
    <cfRule type="expression" dxfId="19" priority="36" stopIfTrue="1">
      <formula>(MOD(COLUMN(),3)=2)</formula>
    </cfRule>
  </conditionalFormatting>
  <conditionalFormatting sqref="I10">
    <cfRule type="expression" dxfId="18" priority="33" stopIfTrue="1">
      <formula>(MOD(COLUMN(),3)=1)</formula>
    </cfRule>
    <cfRule type="expression" dxfId="17" priority="34" stopIfTrue="1">
      <formula>(MOD(COLUMN(),3)=2)</formula>
    </cfRule>
  </conditionalFormatting>
  <conditionalFormatting sqref="G11:G36 G104:G129">
    <cfRule type="containsText" dxfId="16" priority="30" operator="containsText" text="Discount Applicable">
      <formula>NOT(ISERROR(SEARCH("Discount Applicable",G11)))</formula>
    </cfRule>
  </conditionalFormatting>
  <conditionalFormatting sqref="G103">
    <cfRule type="expression" dxfId="15" priority="15" stopIfTrue="1">
      <formula>(MOD(COLUMN(),3)=1)</formula>
    </cfRule>
    <cfRule type="expression" dxfId="14" priority="16" stopIfTrue="1">
      <formula>(MOD(COLUMN(),3)=2)</formula>
    </cfRule>
  </conditionalFormatting>
  <conditionalFormatting sqref="G104:G129">
    <cfRule type="containsText" dxfId="13" priority="13" operator="containsText" text="Discount Applicable+$F$41:$F$45">
      <formula>NOT(ISERROR(SEARCH("Discount Applicable+$F$41:$F$45",G104)))</formula>
    </cfRule>
    <cfRule type="containsText" dxfId="12" priority="14" operator="containsText" text="Discount not applicable+$F$41:$F$45">
      <formula>NOT(ISERROR(SEARCH("Discount not applicable+$F$41:$F$45",G104)))</formula>
    </cfRule>
  </conditionalFormatting>
  <conditionalFormatting sqref="E43:E64 G43:G64">
    <cfRule type="expression" dxfId="11" priority="11" stopIfTrue="1">
      <formula>(MOD(COLUMN(),3)=1)</formula>
    </cfRule>
    <cfRule type="expression" dxfId="10" priority="12" stopIfTrue="1">
      <formula>(MOD(COLUMN(),3)=2)</formula>
    </cfRule>
  </conditionalFormatting>
  <conditionalFormatting sqref="E71:E92">
    <cfRule type="expression" dxfId="9" priority="9" stopIfTrue="1">
      <formula>(MOD(COLUMN(),3)=1)</formula>
    </cfRule>
    <cfRule type="expression" dxfId="8" priority="10" stopIfTrue="1">
      <formula>(MOD(COLUMN(),3)=2)</formula>
    </cfRule>
  </conditionalFormatting>
  <conditionalFormatting sqref="F103">
    <cfRule type="expression" dxfId="7" priority="7" stopIfTrue="1">
      <formula>(MOD(COLUMN(),3)=1)</formula>
    </cfRule>
    <cfRule type="expression" dxfId="6" priority="8" stopIfTrue="1">
      <formula>(MOD(COLUMN(),3)=2)</formula>
    </cfRule>
  </conditionalFormatting>
  <conditionalFormatting sqref="C39:D64">
    <cfRule type="expression" dxfId="5" priority="5" stopIfTrue="1">
      <formula>(MOD(COLUMN(),3)=1)</formula>
    </cfRule>
    <cfRule type="expression" dxfId="4" priority="6" stopIfTrue="1">
      <formula>(MOD(COLUMN(),3)=2)</formula>
    </cfRule>
  </conditionalFormatting>
  <conditionalFormatting sqref="C67:D92">
    <cfRule type="expression" dxfId="3" priority="3" stopIfTrue="1">
      <formula>(MOD(COLUMN(),3)=1)</formula>
    </cfRule>
    <cfRule type="expression" dxfId="2" priority="4" stopIfTrue="1">
      <formula>(MOD(COLUMN(),3)=2)</formula>
    </cfRule>
  </conditionalFormatting>
  <conditionalFormatting sqref="C104:D129">
    <cfRule type="expression" dxfId="1" priority="1" stopIfTrue="1">
      <formula>(MOD(COLUMN(),3)=1)</formula>
    </cfRule>
    <cfRule type="expression" dxfId="0" priority="2" stopIfTrue="1">
      <formula>(MOD(COLUMN(),3)=2)</formula>
    </cfRule>
  </conditionalFormatting>
  <dataValidations xWindow="958" yWindow="432" count="1">
    <dataValidation allowBlank="1" showInputMessage="1" showErrorMessage="1" promptTitle="WARNING" prompt="Ensure there is proper verification of student's ID before entering discount" sqref="H39:H6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embershipSubscriptions_MainMenu_Click">
                <anchor moveWithCells="1" sizeWithCells="1">
                  <from>
                    <xdr:col>9</xdr:col>
                    <xdr:colOff>762000</xdr:colOff>
                    <xdr:row>13</xdr:row>
                    <xdr:rowOff>371475</xdr:rowOff>
                  </from>
                  <to>
                    <xdr:col>10</xdr:col>
                    <xdr:colOff>400050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5" name="Button 11">
              <controlPr defaultSize="0" print="0" autoFill="0" autoPict="0" macro="[0]!Button11_Click">
                <anchor moveWithCells="1" sizeWithCells="1">
                  <from>
                    <xdr:col>9</xdr:col>
                    <xdr:colOff>381000</xdr:colOff>
                    <xdr:row>6</xdr:row>
                    <xdr:rowOff>0</xdr:rowOff>
                  </from>
                  <to>
                    <xdr:col>10</xdr:col>
                    <xdr:colOff>685800</xdr:colOff>
                    <xdr:row>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6" name="Button 12">
              <controlPr defaultSize="0" print="0" autoFill="0" autoPict="0" macro="[0]!Button12_Click">
                <anchor moveWithCells="1" sizeWithCells="1">
                  <from>
                    <xdr:col>9</xdr:col>
                    <xdr:colOff>390525</xdr:colOff>
                    <xdr:row>9</xdr:row>
                    <xdr:rowOff>523875</xdr:rowOff>
                  </from>
                  <to>
                    <xdr:col>10</xdr:col>
                    <xdr:colOff>676275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7" name="Button 13">
              <controlPr defaultSize="0" print="0" autoFill="0" autoPict="0" macro="[0]!Button13_Click">
                <anchor moveWithCells="1" sizeWithCells="1">
                  <from>
                    <xdr:col>9</xdr:col>
                    <xdr:colOff>371475</xdr:colOff>
                    <xdr:row>10</xdr:row>
                    <xdr:rowOff>247650</xdr:rowOff>
                  </from>
                  <to>
                    <xdr:col>10</xdr:col>
                    <xdr:colOff>695325</xdr:colOff>
                    <xdr:row>11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8" name="Button 14">
              <controlPr defaultSize="0" print="0" autoFill="0" autoPict="0" macro="[0]!Button14_Click">
                <anchor moveWithCells="1" sizeWithCells="1">
                  <from>
                    <xdr:col>9</xdr:col>
                    <xdr:colOff>352425</xdr:colOff>
                    <xdr:row>12</xdr:row>
                    <xdr:rowOff>57150</xdr:rowOff>
                  </from>
                  <to>
                    <xdr:col>10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58" yWindow="432" count="2">
        <x14:dataValidation type="list" allowBlank="1" showInputMessage="1" showErrorMessage="1">
          <x14:formula1>
            <xm:f>'Ticket Number'!$A$1:$A$50</xm:f>
          </x14:formula1>
          <xm:sqref>E104:E129 E39:E64 E67:E92</xm:sqref>
        </x14:dataValidation>
        <x14:dataValidation type="list" allowBlank="1" showInputMessage="1" showErrorMessage="1">
          <x14:formula1>
            <xm:f>'Ticket Number'!$A$1:$A$52</xm:f>
          </x14:formula1>
          <xm:sqref>E11:E36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topLeftCell="A31" workbookViewId="0">
      <selection activeCell="B50" sqref="B50"/>
    </sheetView>
  </sheetViews>
  <sheetFormatPr defaultRowHeight="15"/>
  <sheetData>
    <row r="1" spans="1:1">
      <c r="A1">
        <v>0</v>
      </c>
    </row>
    <row r="2" spans="1:1">
      <c r="A2">
        <v>1</v>
      </c>
    </row>
    <row r="3" spans="1:1">
      <c r="A3">
        <v>2</v>
      </c>
    </row>
    <row r="4" spans="1:1">
      <c r="A4">
        <f t="shared" ref="A4:A50" si="0">SUM(A3+1)</f>
        <v>3</v>
      </c>
    </row>
    <row r="5" spans="1:1">
      <c r="A5">
        <f t="shared" si="0"/>
        <v>4</v>
      </c>
    </row>
    <row r="6" spans="1:1">
      <c r="A6">
        <f t="shared" si="0"/>
        <v>5</v>
      </c>
    </row>
    <row r="7" spans="1:1">
      <c r="A7">
        <f t="shared" si="0"/>
        <v>6</v>
      </c>
    </row>
    <row r="8" spans="1:1">
      <c r="A8">
        <f t="shared" si="0"/>
        <v>7</v>
      </c>
    </row>
    <row r="9" spans="1:1">
      <c r="A9">
        <f t="shared" si="0"/>
        <v>8</v>
      </c>
    </row>
    <row r="10" spans="1:1">
      <c r="A10">
        <f t="shared" si="0"/>
        <v>9</v>
      </c>
    </row>
    <row r="11" spans="1:1">
      <c r="A11">
        <f t="shared" si="0"/>
        <v>10</v>
      </c>
    </row>
    <row r="12" spans="1:1">
      <c r="A12">
        <f t="shared" si="0"/>
        <v>11</v>
      </c>
    </row>
    <row r="13" spans="1:1">
      <c r="A13">
        <f t="shared" si="0"/>
        <v>12</v>
      </c>
    </row>
    <row r="14" spans="1:1">
      <c r="A14">
        <f t="shared" si="0"/>
        <v>13</v>
      </c>
    </row>
    <row r="15" spans="1:1">
      <c r="A15">
        <f t="shared" si="0"/>
        <v>14</v>
      </c>
    </row>
    <row r="16" spans="1:1">
      <c r="A16">
        <f t="shared" si="0"/>
        <v>15</v>
      </c>
    </row>
    <row r="17" spans="1:1">
      <c r="A17">
        <f t="shared" si="0"/>
        <v>16</v>
      </c>
    </row>
    <row r="18" spans="1:1">
      <c r="A18">
        <f t="shared" si="0"/>
        <v>17</v>
      </c>
    </row>
    <row r="19" spans="1:1">
      <c r="A19">
        <f t="shared" si="0"/>
        <v>18</v>
      </c>
    </row>
    <row r="20" spans="1:1">
      <c r="A20">
        <f t="shared" si="0"/>
        <v>19</v>
      </c>
    </row>
    <row r="21" spans="1:1">
      <c r="A21">
        <f t="shared" si="0"/>
        <v>20</v>
      </c>
    </row>
    <row r="22" spans="1:1">
      <c r="A22">
        <f t="shared" si="0"/>
        <v>21</v>
      </c>
    </row>
    <row r="23" spans="1:1">
      <c r="A23">
        <f t="shared" si="0"/>
        <v>22</v>
      </c>
    </row>
    <row r="24" spans="1:1">
      <c r="A24">
        <f t="shared" si="0"/>
        <v>23</v>
      </c>
    </row>
    <row r="25" spans="1:1">
      <c r="A25">
        <f t="shared" si="0"/>
        <v>24</v>
      </c>
    </row>
    <row r="26" spans="1:1">
      <c r="A26">
        <f t="shared" si="0"/>
        <v>25</v>
      </c>
    </row>
    <row r="27" spans="1:1">
      <c r="A27">
        <f t="shared" si="0"/>
        <v>26</v>
      </c>
    </row>
    <row r="28" spans="1:1">
      <c r="A28">
        <f t="shared" si="0"/>
        <v>27</v>
      </c>
    </row>
    <row r="29" spans="1:1">
      <c r="A29">
        <f t="shared" si="0"/>
        <v>28</v>
      </c>
    </row>
    <row r="30" spans="1:1">
      <c r="A30">
        <f t="shared" si="0"/>
        <v>29</v>
      </c>
    </row>
    <row r="31" spans="1:1">
      <c r="A31">
        <f t="shared" si="0"/>
        <v>30</v>
      </c>
    </row>
    <row r="32" spans="1:1">
      <c r="A32">
        <f t="shared" si="0"/>
        <v>31</v>
      </c>
    </row>
    <row r="33" spans="1:1">
      <c r="A33">
        <f t="shared" si="0"/>
        <v>32</v>
      </c>
    </row>
    <row r="34" spans="1:1">
      <c r="A34">
        <f t="shared" si="0"/>
        <v>33</v>
      </c>
    </row>
    <row r="35" spans="1:1">
      <c r="A35">
        <f t="shared" si="0"/>
        <v>34</v>
      </c>
    </row>
    <row r="36" spans="1:1">
      <c r="A36">
        <f t="shared" si="0"/>
        <v>35</v>
      </c>
    </row>
    <row r="37" spans="1:1">
      <c r="A37">
        <f t="shared" si="0"/>
        <v>36</v>
      </c>
    </row>
    <row r="38" spans="1:1">
      <c r="A38">
        <f t="shared" si="0"/>
        <v>37</v>
      </c>
    </row>
    <row r="39" spans="1:1">
      <c r="A39">
        <f t="shared" si="0"/>
        <v>38</v>
      </c>
    </row>
    <row r="40" spans="1:1">
      <c r="A40">
        <f t="shared" si="0"/>
        <v>39</v>
      </c>
    </row>
    <row r="41" spans="1:1">
      <c r="A41">
        <f t="shared" si="0"/>
        <v>40</v>
      </c>
    </row>
    <row r="42" spans="1:1">
      <c r="A42">
        <f t="shared" si="0"/>
        <v>41</v>
      </c>
    </row>
    <row r="43" spans="1:1">
      <c r="A43">
        <f t="shared" si="0"/>
        <v>42</v>
      </c>
    </row>
    <row r="44" spans="1:1">
      <c r="A44">
        <f t="shared" si="0"/>
        <v>43</v>
      </c>
    </row>
    <row r="45" spans="1:1">
      <c r="A45">
        <f t="shared" si="0"/>
        <v>44</v>
      </c>
    </row>
    <row r="46" spans="1:1">
      <c r="A46">
        <f t="shared" si="0"/>
        <v>45</v>
      </c>
    </row>
    <row r="47" spans="1:1">
      <c r="A47">
        <f t="shared" si="0"/>
        <v>46</v>
      </c>
    </row>
    <row r="48" spans="1:1">
      <c r="A48">
        <f t="shared" si="0"/>
        <v>47</v>
      </c>
    </row>
    <row r="49" spans="1:1">
      <c r="A49">
        <f t="shared" si="0"/>
        <v>48</v>
      </c>
    </row>
    <row r="50" spans="1:1">
      <c r="A50">
        <f t="shared" si="0"/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5"/>
  <sheetViews>
    <sheetView zoomScaleNormal="100" workbookViewId="0">
      <selection activeCell="E9" sqref="E9"/>
    </sheetView>
  </sheetViews>
  <sheetFormatPr defaultRowHeight="15"/>
  <cols>
    <col min="2" max="2" width="16.140625" customWidth="1"/>
    <col min="3" max="3" width="29.140625" customWidth="1"/>
    <col min="4" max="4" width="37.42578125" customWidth="1"/>
    <col min="5" max="5" width="41.7109375" customWidth="1"/>
    <col min="6" max="6" width="38.7109375" customWidth="1"/>
    <col min="7" max="7" width="41.28515625" customWidth="1"/>
    <col min="8" max="8" width="33.85546875" customWidth="1"/>
    <col min="9" max="9" width="18.42578125" customWidth="1"/>
    <col min="10" max="10" width="20.85546875" customWidth="1"/>
    <col min="11" max="11" width="23" customWidth="1"/>
    <col min="12" max="12" width="21.5703125" customWidth="1"/>
    <col min="13" max="13" width="19.42578125" customWidth="1"/>
    <col min="14" max="14" width="12.42578125" customWidth="1"/>
  </cols>
  <sheetData>
    <row r="1" spans="1:12">
      <c r="A1" s="188"/>
      <c r="B1" s="188"/>
      <c r="C1" s="188"/>
      <c r="D1" s="188"/>
      <c r="E1" s="188"/>
      <c r="F1" s="188"/>
      <c r="G1" s="188"/>
      <c r="H1" s="188"/>
      <c r="I1" s="188"/>
      <c r="J1" s="19"/>
      <c r="K1" s="19"/>
      <c r="L1" s="19"/>
    </row>
    <row r="2" spans="1:12">
      <c r="A2" s="188"/>
      <c r="B2" s="188"/>
      <c r="C2" s="188"/>
      <c r="D2" s="188"/>
      <c r="E2" s="188"/>
      <c r="F2" s="188"/>
      <c r="G2" s="188"/>
      <c r="H2" s="188"/>
      <c r="I2" s="188"/>
      <c r="J2" s="19"/>
      <c r="K2" s="19"/>
      <c r="L2" s="19"/>
    </row>
    <row r="3" spans="1:12">
      <c r="A3" s="188"/>
      <c r="B3" s="188"/>
      <c r="C3" s="188"/>
      <c r="D3" s="188"/>
      <c r="E3" s="188"/>
      <c r="F3" s="188"/>
      <c r="G3" s="188"/>
      <c r="H3" s="188"/>
      <c r="I3" s="188"/>
      <c r="J3" s="19"/>
      <c r="K3" s="19"/>
      <c r="L3" s="19"/>
    </row>
    <row r="4" spans="1:12">
      <c r="A4" s="188"/>
      <c r="B4" s="188"/>
      <c r="C4" s="188"/>
      <c r="D4" s="188"/>
      <c r="E4" s="188"/>
      <c r="F4" s="188"/>
      <c r="G4" s="188"/>
      <c r="H4" s="188"/>
      <c r="I4" s="188"/>
      <c r="J4" s="19"/>
      <c r="K4" s="19"/>
      <c r="L4" s="19"/>
    </row>
    <row r="5" spans="1:12">
      <c r="A5" s="188"/>
      <c r="B5" s="188"/>
      <c r="C5" s="188"/>
      <c r="D5" s="188"/>
      <c r="E5" s="188"/>
      <c r="F5" s="188"/>
      <c r="G5" s="188"/>
      <c r="H5" s="188"/>
      <c r="I5" s="188"/>
      <c r="J5" s="19"/>
      <c r="K5" s="19"/>
      <c r="L5" s="19"/>
    </row>
    <row r="6" spans="1:12">
      <c r="A6" s="188"/>
      <c r="B6" s="188"/>
      <c r="C6" s="188"/>
      <c r="D6" s="188"/>
      <c r="E6" s="188"/>
      <c r="F6" s="188"/>
      <c r="G6" s="188"/>
      <c r="H6" s="188"/>
      <c r="I6" s="188"/>
      <c r="J6" s="19"/>
      <c r="K6" s="19"/>
      <c r="L6" s="19"/>
    </row>
    <row r="7" spans="1:12" ht="15.75" thickBot="1">
      <c r="A7" s="188"/>
      <c r="B7" s="188"/>
      <c r="C7" s="188"/>
      <c r="D7" s="188"/>
      <c r="E7" s="188"/>
      <c r="F7" s="188"/>
      <c r="G7" s="188"/>
      <c r="H7" s="188"/>
      <c r="I7" s="188"/>
      <c r="J7" s="19"/>
      <c r="K7" s="19"/>
      <c r="L7" s="19"/>
    </row>
    <row r="8" spans="1:12" ht="28.5" thickBot="1">
      <c r="A8" s="19"/>
      <c r="B8" s="13" t="s">
        <v>44</v>
      </c>
      <c r="C8" s="14" t="s">
        <v>18</v>
      </c>
      <c r="D8" s="14" t="s">
        <v>28</v>
      </c>
      <c r="E8" s="14" t="s">
        <v>273</v>
      </c>
      <c r="F8" s="14" t="s">
        <v>260</v>
      </c>
      <c r="G8" s="14" t="s">
        <v>259</v>
      </c>
      <c r="H8" s="19"/>
      <c r="I8" s="19"/>
      <c r="J8" s="30"/>
      <c r="K8" s="11"/>
      <c r="L8" s="11"/>
    </row>
    <row r="9" spans="1:12" ht="45.75" thickBot="1">
      <c r="A9" s="19"/>
      <c r="B9" s="18" t="s">
        <v>69</v>
      </c>
      <c r="C9" s="15" t="s">
        <v>10</v>
      </c>
      <c r="D9" s="5" t="s">
        <v>29</v>
      </c>
      <c r="E9" s="167" t="s">
        <v>4</v>
      </c>
      <c r="F9" s="6" t="s">
        <v>20</v>
      </c>
      <c r="G9" s="5" t="s">
        <v>40</v>
      </c>
      <c r="H9" s="19"/>
      <c r="I9" s="19"/>
      <c r="J9" s="30"/>
      <c r="K9" s="11"/>
      <c r="L9" s="11"/>
    </row>
    <row r="10" spans="1:12" ht="45.75" thickBot="1">
      <c r="A10" s="19"/>
      <c r="B10" s="18" t="s">
        <v>70</v>
      </c>
      <c r="C10" s="16" t="s">
        <v>11</v>
      </c>
      <c r="D10" s="7" t="s">
        <v>30</v>
      </c>
      <c r="E10" s="168" t="s">
        <v>216</v>
      </c>
      <c r="F10" s="8" t="s">
        <v>21</v>
      </c>
      <c r="G10" s="7" t="s">
        <v>40</v>
      </c>
      <c r="H10" s="19"/>
      <c r="I10" s="19"/>
      <c r="J10" s="30"/>
      <c r="K10" s="11"/>
      <c r="L10" s="11"/>
    </row>
    <row r="11" spans="1:12" ht="45.75" thickBot="1">
      <c r="A11" s="19"/>
      <c r="B11" s="18" t="s">
        <v>71</v>
      </c>
      <c r="C11" s="16" t="s">
        <v>12</v>
      </c>
      <c r="D11" s="7" t="s">
        <v>30</v>
      </c>
      <c r="E11" s="168" t="s">
        <v>221</v>
      </c>
      <c r="F11" s="8" t="s">
        <v>22</v>
      </c>
      <c r="G11" s="7" t="s">
        <v>40</v>
      </c>
      <c r="H11" s="19"/>
      <c r="I11" s="19"/>
      <c r="J11" s="30"/>
      <c r="K11" s="11"/>
      <c r="L11" s="11"/>
    </row>
    <row r="12" spans="1:12" ht="45.75" thickBot="1">
      <c r="A12" s="19"/>
      <c r="B12" s="18" t="s">
        <v>72</v>
      </c>
      <c r="C12" s="16" t="s">
        <v>13</v>
      </c>
      <c r="D12" s="7" t="s">
        <v>31</v>
      </c>
      <c r="E12" s="168" t="s">
        <v>223</v>
      </c>
      <c r="F12" s="8" t="s">
        <v>23</v>
      </c>
      <c r="G12" s="7" t="s">
        <v>41</v>
      </c>
      <c r="H12" s="19"/>
      <c r="I12" s="19"/>
      <c r="J12" s="30"/>
      <c r="K12" s="11"/>
      <c r="L12" s="11"/>
    </row>
    <row r="13" spans="1:12" ht="45.75" thickBot="1">
      <c r="A13" s="19"/>
      <c r="B13" s="18" t="s">
        <v>73</v>
      </c>
      <c r="C13" s="16" t="s">
        <v>14</v>
      </c>
      <c r="D13" s="7" t="s">
        <v>32</v>
      </c>
      <c r="E13" s="168" t="s">
        <v>2</v>
      </c>
      <c r="F13" s="8" t="s">
        <v>24</v>
      </c>
      <c r="G13" s="7" t="s">
        <v>40</v>
      </c>
      <c r="H13" s="19"/>
      <c r="I13" s="19"/>
      <c r="J13" s="30"/>
      <c r="K13" s="11"/>
      <c r="L13" s="11"/>
    </row>
    <row r="14" spans="1:12" ht="45.75" thickBot="1">
      <c r="A14" s="19"/>
      <c r="B14" s="18" t="s">
        <v>74</v>
      </c>
      <c r="C14" s="16" t="s">
        <v>15</v>
      </c>
      <c r="D14" s="7" t="s">
        <v>33</v>
      </c>
      <c r="E14" s="168" t="s">
        <v>228</v>
      </c>
      <c r="F14" s="8" t="s">
        <v>25</v>
      </c>
      <c r="G14" s="7" t="s">
        <v>41</v>
      </c>
      <c r="H14" s="19"/>
      <c r="I14" s="19"/>
      <c r="J14" s="30"/>
      <c r="K14" s="11"/>
      <c r="L14" s="11"/>
    </row>
    <row r="15" spans="1:12" ht="45.75" thickBot="1">
      <c r="A15" s="19"/>
      <c r="B15" s="18" t="s">
        <v>75</v>
      </c>
      <c r="C15" s="16" t="s">
        <v>16</v>
      </c>
      <c r="D15" s="7" t="s">
        <v>34</v>
      </c>
      <c r="E15" s="168" t="s">
        <v>231</v>
      </c>
      <c r="F15" s="8" t="s">
        <v>26</v>
      </c>
      <c r="G15" s="7" t="s">
        <v>40</v>
      </c>
      <c r="H15" s="19"/>
      <c r="I15" s="19"/>
      <c r="J15" s="30"/>
      <c r="K15" s="11"/>
      <c r="L15" s="11"/>
    </row>
    <row r="16" spans="1:12" ht="45.75" thickBot="1">
      <c r="A16" s="19"/>
      <c r="B16" s="18" t="s">
        <v>76</v>
      </c>
      <c r="C16" s="17" t="s">
        <v>17</v>
      </c>
      <c r="D16" s="9" t="s">
        <v>35</v>
      </c>
      <c r="E16" s="169" t="s">
        <v>234</v>
      </c>
      <c r="F16" s="10" t="s">
        <v>27</v>
      </c>
      <c r="G16" s="9" t="s">
        <v>40</v>
      </c>
      <c r="H16" s="19"/>
      <c r="I16" s="19"/>
      <c r="J16" s="30"/>
      <c r="K16" s="11"/>
      <c r="L16" s="11"/>
    </row>
    <row r="17" spans="1:12">
      <c r="A17" s="19"/>
      <c r="B17" s="19"/>
      <c r="C17" s="19"/>
      <c r="D17" s="19"/>
      <c r="E17" s="19"/>
      <c r="F17" s="19"/>
      <c r="G17" s="19"/>
      <c r="H17" s="19"/>
      <c r="I17" s="19"/>
      <c r="J17" s="30"/>
      <c r="K17" s="30"/>
      <c r="L17" s="30"/>
    </row>
    <row r="18" spans="1:12">
      <c r="A18" s="19"/>
      <c r="B18" s="19"/>
      <c r="C18" s="19"/>
      <c r="D18" s="19"/>
      <c r="E18" s="19"/>
      <c r="F18" s="19"/>
      <c r="G18" s="19"/>
      <c r="H18" s="19"/>
      <c r="I18" s="19"/>
      <c r="J18" s="30"/>
      <c r="K18" s="30"/>
      <c r="L18" s="30"/>
    </row>
    <row r="19" spans="1:12">
      <c r="A19" s="19"/>
      <c r="B19" s="19"/>
      <c r="C19" s="19"/>
      <c r="D19" s="19"/>
      <c r="E19" s="19"/>
      <c r="F19" s="19"/>
      <c r="G19" s="19"/>
      <c r="H19" s="19"/>
      <c r="I19" s="19"/>
      <c r="J19" s="11"/>
      <c r="K19" s="11"/>
      <c r="L19" s="11"/>
    </row>
    <row r="20" spans="1:12">
      <c r="A20" s="19"/>
      <c r="B20" s="19"/>
      <c r="C20" s="19"/>
      <c r="D20" s="19"/>
      <c r="E20" s="19"/>
      <c r="F20" s="19"/>
      <c r="G20" s="19"/>
      <c r="H20" s="19"/>
      <c r="I20" s="19"/>
      <c r="J20" s="11"/>
      <c r="K20" s="11"/>
      <c r="L20" s="11"/>
    </row>
    <row r="21" spans="1:12">
      <c r="A21" s="19"/>
      <c r="B21" s="19"/>
      <c r="C21" s="19"/>
      <c r="D21" s="19"/>
      <c r="E21" s="19"/>
      <c r="F21" s="19"/>
      <c r="G21" s="19"/>
      <c r="H21" s="19"/>
      <c r="I21" s="19"/>
      <c r="J21" s="11"/>
      <c r="K21" s="11"/>
      <c r="L21" s="11"/>
    </row>
    <row r="22" spans="1:12">
      <c r="A22" s="19"/>
      <c r="B22" s="19"/>
      <c r="C22" s="30"/>
      <c r="D22" s="30"/>
      <c r="E22" s="30"/>
      <c r="F22" s="30"/>
      <c r="G22" s="30"/>
      <c r="H22" s="30"/>
      <c r="I22" s="30"/>
      <c r="J22" s="11"/>
      <c r="K22" s="11"/>
      <c r="L22" s="11"/>
    </row>
    <row r="23" spans="1:12">
      <c r="A23" s="19"/>
      <c r="B23" s="19"/>
      <c r="C23" s="11"/>
      <c r="D23" s="11"/>
      <c r="E23" s="11"/>
      <c r="F23" s="11"/>
      <c r="G23" s="30"/>
      <c r="H23" s="30"/>
      <c r="I23" s="30"/>
      <c r="J23" s="11"/>
      <c r="K23" s="11"/>
      <c r="L23" s="11"/>
    </row>
    <row r="24" spans="1:12">
      <c r="A24" s="19"/>
      <c r="B24" s="19"/>
      <c r="C24" s="11"/>
      <c r="D24" s="11"/>
      <c r="E24" s="11"/>
      <c r="F24" s="11"/>
      <c r="G24" s="30"/>
      <c r="H24" s="30"/>
      <c r="I24" s="30"/>
      <c r="J24" s="11"/>
      <c r="K24" s="11"/>
      <c r="L24" s="11"/>
    </row>
    <row r="25" spans="1:12">
      <c r="A25" s="19"/>
      <c r="B25" s="19"/>
      <c r="C25" s="11"/>
      <c r="D25" s="11"/>
      <c r="E25" s="11"/>
      <c r="F25" s="11"/>
      <c r="G25" s="30"/>
      <c r="H25" s="30"/>
      <c r="I25" s="30"/>
      <c r="J25" s="11"/>
      <c r="K25" s="11"/>
      <c r="L25" s="11"/>
    </row>
  </sheetData>
  <sheetProtection sheet="1" objects="1" scenarios="1"/>
  <mergeCells count="1">
    <mergeCell ref="A1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rips_MainMenu_Click">
                <anchor moveWithCells="1" sizeWithCells="1">
                  <from>
                    <xdr:col>6</xdr:col>
                    <xdr:colOff>847725</xdr:colOff>
                    <xdr:row>2</xdr:row>
                    <xdr:rowOff>76200</xdr:rowOff>
                  </from>
                  <to>
                    <xdr:col>6</xdr:col>
                    <xdr:colOff>2428875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'Trip shows'!$C$1:$C$3</xm:f>
          </x14:formula1>
          <xm:sqref>E9</xm:sqref>
        </x14:dataValidation>
        <x14:dataValidation type="list" allowBlank="1" showInputMessage="1" showErrorMessage="1">
          <x14:formula1>
            <xm:f>'Trip shows'!$C$6:$C$7</xm:f>
          </x14:formula1>
          <xm:sqref>E10</xm:sqref>
        </x14:dataValidation>
        <x14:dataValidation type="list" allowBlank="1" showInputMessage="1" showErrorMessage="1">
          <x14:formula1>
            <xm:f>'Trip shows'!$C$11:$C$14</xm:f>
          </x14:formula1>
          <xm:sqref>E11</xm:sqref>
        </x14:dataValidation>
        <x14:dataValidation type="list" allowBlank="1" showInputMessage="1" showErrorMessage="1">
          <x14:formula1>
            <xm:f>'Trip shows'!$C$16:$C$20</xm:f>
          </x14:formula1>
          <xm:sqref>E12</xm:sqref>
        </x14:dataValidation>
        <x14:dataValidation type="list" allowBlank="1" showInputMessage="1" showErrorMessage="1">
          <x14:formula1>
            <xm:f>'Trip shows'!$C$24:$C$26</xm:f>
          </x14:formula1>
          <xm:sqref>E13</xm:sqref>
        </x14:dataValidation>
        <x14:dataValidation type="list" allowBlank="1" showInputMessage="1" showErrorMessage="1">
          <x14:formula1>
            <xm:f>'Trip shows'!$K$6:$K$9</xm:f>
          </x14:formula1>
          <xm:sqref>E14</xm:sqref>
        </x14:dataValidation>
        <x14:dataValidation type="list" allowBlank="1" showInputMessage="1" showErrorMessage="1">
          <x14:formula1>
            <xm:f>'Trip shows'!$K$13:$K$14</xm:f>
          </x14:formula1>
          <xm:sqref>E15</xm:sqref>
        </x14:dataValidation>
        <x14:dataValidation type="list" allowBlank="1" showInputMessage="1" showErrorMessage="1">
          <x14:formula1>
            <xm:f>'Trip shows'!$K$18:$K$20</xm:f>
          </x14:formula1>
          <xm:sqref>E16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D48"/>
  <sheetViews>
    <sheetView workbookViewId="0">
      <selection activeCell="D14" sqref="D14"/>
    </sheetView>
  </sheetViews>
  <sheetFormatPr defaultRowHeight="15"/>
  <sheetData>
    <row r="4" spans="1:4">
      <c r="A4" t="s">
        <v>10</v>
      </c>
      <c r="D4" s="1">
        <v>0.39583333333333331</v>
      </c>
    </row>
    <row r="5" spans="1:4">
      <c r="D5" s="1">
        <v>0.44791666666666669</v>
      </c>
    </row>
    <row r="6" spans="1:4">
      <c r="D6" s="1">
        <v>0.45833333333333331</v>
      </c>
    </row>
    <row r="7" spans="1:4">
      <c r="D7" s="1">
        <v>0.63194444444444442</v>
      </c>
    </row>
    <row r="10" spans="1:4">
      <c r="A10" t="s">
        <v>11</v>
      </c>
      <c r="D10" s="1">
        <v>0.4375</v>
      </c>
    </row>
    <row r="11" spans="1:4">
      <c r="D11" s="1">
        <v>0.45833333333333331</v>
      </c>
    </row>
    <row r="12" spans="1:4">
      <c r="D12" s="1">
        <v>0.58333333333333337</v>
      </c>
    </row>
    <row r="15" spans="1:4">
      <c r="A15" t="s">
        <v>12</v>
      </c>
      <c r="D15" s="1">
        <v>0.58333333333333337</v>
      </c>
    </row>
    <row r="16" spans="1:4">
      <c r="D16" s="1">
        <v>0.61458333333333337</v>
      </c>
    </row>
    <row r="19" spans="1:4">
      <c r="A19" t="s">
        <v>13</v>
      </c>
      <c r="D19" s="1">
        <v>0.375</v>
      </c>
    </row>
    <row r="20" spans="1:4">
      <c r="D20" s="1">
        <v>0.41666666666666669</v>
      </c>
    </row>
    <row r="21" spans="1:4">
      <c r="D21" s="1">
        <v>0.45833333333333331</v>
      </c>
    </row>
    <row r="22" spans="1:4">
      <c r="D22" s="1">
        <v>0.5</v>
      </c>
    </row>
    <row r="25" spans="1:4">
      <c r="A25" t="s">
        <v>14</v>
      </c>
      <c r="D25" s="1">
        <v>0.5</v>
      </c>
    </row>
    <row r="26" spans="1:4">
      <c r="D26" s="1">
        <v>0.52430555555555558</v>
      </c>
    </row>
    <row r="27" spans="1:4">
      <c r="D27" s="1">
        <v>0.55208333333333337</v>
      </c>
    </row>
    <row r="28" spans="1:4">
      <c r="D28" s="1">
        <v>0.57638888888888895</v>
      </c>
    </row>
    <row r="29" spans="1:4">
      <c r="D29" s="1">
        <v>0.66666666666666663</v>
      </c>
    </row>
    <row r="32" spans="1:4">
      <c r="A32" t="s">
        <v>15</v>
      </c>
      <c r="D32" s="1">
        <v>0.45833333333333331</v>
      </c>
    </row>
    <row r="33" spans="1:4">
      <c r="D33" s="1">
        <v>0.5</v>
      </c>
    </row>
    <row r="34" spans="1:4">
      <c r="D34" s="1">
        <v>0.53472222222222221</v>
      </c>
    </row>
    <row r="35" spans="1:4">
      <c r="D35" s="1">
        <v>0.59722222222222221</v>
      </c>
    </row>
    <row r="39" spans="1:4">
      <c r="A39" t="s">
        <v>16</v>
      </c>
      <c r="D39" s="1">
        <v>0.41666666666666669</v>
      </c>
    </row>
    <row r="40" spans="1:4">
      <c r="D40" s="1">
        <v>0.5</v>
      </c>
    </row>
    <row r="41" spans="1:4">
      <c r="D41" s="1">
        <v>0.54166666666666663</v>
      </c>
    </row>
    <row r="42" spans="1:4">
      <c r="D42" s="1">
        <v>0.57291666666666663</v>
      </c>
    </row>
    <row r="45" spans="1:4">
      <c r="A45" t="s">
        <v>17</v>
      </c>
      <c r="D45" s="1">
        <v>0.4236111111111111</v>
      </c>
    </row>
    <row r="46" spans="1:4">
      <c r="D46" s="1">
        <v>0.44791666666666669</v>
      </c>
    </row>
    <row r="47" spans="1:4">
      <c r="D47" s="1">
        <v>0.5</v>
      </c>
    </row>
    <row r="48" spans="1:4">
      <c r="D48" s="1">
        <v>0.53472222222222221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6"/>
  <sheetViews>
    <sheetView workbookViewId="0">
      <selection activeCell="H25" sqref="H25"/>
    </sheetView>
  </sheetViews>
  <sheetFormatPr defaultRowHeight="15"/>
  <cols>
    <col min="1" max="1" width="24.5703125" customWidth="1"/>
    <col min="3" max="3" width="29.85546875" customWidth="1"/>
    <col min="9" max="9" width="27" customWidth="1"/>
    <col min="11" max="11" width="32.7109375" customWidth="1"/>
  </cols>
  <sheetData>
    <row r="1" spans="1:11" ht="15.75">
      <c r="A1" s="3" t="s">
        <v>10</v>
      </c>
      <c r="C1" s="2" t="s">
        <v>1</v>
      </c>
    </row>
    <row r="2" spans="1:11">
      <c r="C2" s="2" t="s">
        <v>5</v>
      </c>
    </row>
    <row r="3" spans="1:11">
      <c r="C3" s="2" t="s">
        <v>4</v>
      </c>
    </row>
    <row r="6" spans="1:11" ht="15.75">
      <c r="A6" s="3" t="s">
        <v>11</v>
      </c>
      <c r="C6" s="2" t="s">
        <v>216</v>
      </c>
      <c r="I6" s="3" t="s">
        <v>15</v>
      </c>
      <c r="K6" s="2" t="s">
        <v>227</v>
      </c>
    </row>
    <row r="7" spans="1:11">
      <c r="C7" s="2" t="s">
        <v>217</v>
      </c>
      <c r="K7" s="2" t="s">
        <v>228</v>
      </c>
    </row>
    <row r="8" spans="1:11">
      <c r="K8" s="2" t="s">
        <v>229</v>
      </c>
    </row>
    <row r="9" spans="1:11">
      <c r="K9" s="2" t="s">
        <v>230</v>
      </c>
    </row>
    <row r="11" spans="1:11" ht="15.75">
      <c r="A11" s="3" t="s">
        <v>12</v>
      </c>
      <c r="C11" s="2" t="s">
        <v>218</v>
      </c>
    </row>
    <row r="12" spans="1:11">
      <c r="C12" s="2" t="s">
        <v>219</v>
      </c>
    </row>
    <row r="13" spans="1:11" ht="15.75">
      <c r="C13" s="2" t="s">
        <v>220</v>
      </c>
      <c r="I13" s="3" t="s">
        <v>16</v>
      </c>
      <c r="K13" s="2" t="s">
        <v>231</v>
      </c>
    </row>
    <row r="14" spans="1:11">
      <c r="C14" s="2" t="s">
        <v>221</v>
      </c>
      <c r="K14" s="2" t="s">
        <v>232</v>
      </c>
    </row>
    <row r="16" spans="1:11" ht="15.75">
      <c r="A16" s="3" t="s">
        <v>13</v>
      </c>
      <c r="C16" s="2" t="s">
        <v>222</v>
      </c>
    </row>
    <row r="17" spans="1:11">
      <c r="C17" s="2" t="s">
        <v>223</v>
      </c>
    </row>
    <row r="18" spans="1:11" ht="15.75">
      <c r="C18" s="2" t="s">
        <v>224</v>
      </c>
      <c r="I18" s="3" t="s">
        <v>17</v>
      </c>
      <c r="K18" s="2" t="s">
        <v>233</v>
      </c>
    </row>
    <row r="19" spans="1:11">
      <c r="C19" s="2" t="s">
        <v>225</v>
      </c>
      <c r="K19" s="2" t="s">
        <v>234</v>
      </c>
    </row>
    <row r="20" spans="1:11">
      <c r="C20" s="2" t="s">
        <v>236</v>
      </c>
      <c r="K20" s="2" t="s">
        <v>235</v>
      </c>
    </row>
    <row r="21" spans="1:11">
      <c r="K21" s="2"/>
    </row>
    <row r="24" spans="1:11" ht="15.75">
      <c r="A24" s="3" t="s">
        <v>14</v>
      </c>
      <c r="C24" s="2" t="s">
        <v>2</v>
      </c>
    </row>
    <row r="25" spans="1:11">
      <c r="C25" s="2" t="s">
        <v>3</v>
      </c>
    </row>
    <row r="26" spans="1:11">
      <c r="C26" s="2" t="s">
        <v>226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78"/>
  <sheetViews>
    <sheetView topLeftCell="A16" zoomScale="90" zoomScaleNormal="90" workbookViewId="0">
      <selection activeCell="G47" sqref="G47"/>
    </sheetView>
  </sheetViews>
  <sheetFormatPr defaultRowHeight="15"/>
  <cols>
    <col min="3" max="3" width="16.28515625" customWidth="1"/>
    <col min="4" max="4" width="28.7109375" customWidth="1"/>
    <col min="5" max="5" width="13" customWidth="1"/>
    <col min="6" max="6" width="24.7109375" customWidth="1"/>
    <col min="7" max="7" width="14.42578125" customWidth="1"/>
    <col min="8" max="8" width="17.7109375" customWidth="1"/>
    <col min="9" max="9" width="15.7109375" customWidth="1"/>
  </cols>
  <sheetData>
    <row r="1" spans="1: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</row>
    <row r="4" spans="1: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  <row r="10" spans="1: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spans="1: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</row>
    <row r="12" spans="1: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</row>
    <row r="13" spans="1: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</row>
    <row r="14" spans="1: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spans="1: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</row>
    <row r="16" spans="1: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</row>
    <row r="17" spans="1: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</row>
    <row r="18" spans="1: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</row>
    <row r="19" spans="1: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</row>
    <row r="20" spans="1: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</row>
    <row r="21" spans="1: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</row>
    <row r="23" spans="1: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</row>
    <row r="24" spans="1:25">
      <c r="A24" s="11"/>
      <c r="B24" s="11"/>
      <c r="C24" s="4" t="s">
        <v>83</v>
      </c>
      <c r="D24" s="4" t="s">
        <v>42</v>
      </c>
      <c r="E24" s="4" t="s">
        <v>39</v>
      </c>
      <c r="F24" s="4" t="s">
        <v>43</v>
      </c>
      <c r="G24" s="4" t="s">
        <v>92</v>
      </c>
      <c r="H24" s="4" t="s">
        <v>91</v>
      </c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</row>
    <row r="25" spans="1:25">
      <c r="A25" s="11"/>
      <c r="B25" s="11"/>
      <c r="C25" s="12" t="str">
        <f ca="1">OFFSET(Members!G1,Members!$L$1,0)</f>
        <v>M01</v>
      </c>
      <c r="D25" s="31" t="s">
        <v>46</v>
      </c>
      <c r="E25" s="12">
        <f ca="1">OFFSET(Members!D1,Members!$L$1,0)</f>
        <v>30</v>
      </c>
      <c r="F25" s="12" t="str">
        <f t="shared" ref="F25:F32" ca="1" si="0">IF(AND(E25&gt;0,E25&lt;=15),"Child",IF(AND(E25&gt;16,E25&lt;=18),"Student",IF(AND(E25&gt;19,E25&lt;=49),"Adult",IF(AND(E25&gt;50,E25&lt;=100),"Senior/Benefits"))))</f>
        <v>Adult</v>
      </c>
      <c r="G25" s="12" t="s">
        <v>89</v>
      </c>
      <c r="H25" s="12" t="s">
        <v>281</v>
      </c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</row>
    <row r="26" spans="1:25">
      <c r="A26" s="11"/>
      <c r="B26" s="11"/>
      <c r="C26" s="12" t="str">
        <f ca="1">OFFSET(Members!G2,Members!$L$1,0)</f>
        <v>M02</v>
      </c>
      <c r="D26" s="31" t="s">
        <v>47</v>
      </c>
      <c r="E26" s="12">
        <f ca="1">OFFSET(Members!D2,Members!$L$1,0)</f>
        <v>12</v>
      </c>
      <c r="F26" s="12" t="str">
        <f t="shared" ca="1" si="0"/>
        <v>Child</v>
      </c>
      <c r="G26" s="12" t="s">
        <v>89</v>
      </c>
      <c r="H26" s="12" t="s">
        <v>282</v>
      </c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</row>
    <row r="27" spans="1:25">
      <c r="A27" s="11"/>
      <c r="B27" s="11"/>
      <c r="C27" s="12" t="str">
        <f ca="1">OFFSET(Members!G3,Members!$L$1,0)</f>
        <v>M03</v>
      </c>
      <c r="D27" s="31" t="s">
        <v>48</v>
      </c>
      <c r="E27" s="12">
        <f ca="1">OFFSET(Members!D3,Members!$L$1,0)</f>
        <v>24</v>
      </c>
      <c r="F27" s="12" t="str">
        <f t="shared" ca="1" si="0"/>
        <v>Adult</v>
      </c>
      <c r="G27" s="12" t="s">
        <v>89</v>
      </c>
      <c r="H27" s="12" t="s">
        <v>283</v>
      </c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</row>
    <row r="28" spans="1:25">
      <c r="A28" s="11"/>
      <c r="B28" s="11"/>
      <c r="C28" s="12" t="str">
        <f ca="1">OFFSET(Members!G4,Members!$L$1,0)</f>
        <v>M04</v>
      </c>
      <c r="D28" s="31" t="s">
        <v>49</v>
      </c>
      <c r="E28" s="12">
        <f ca="1">OFFSET(Members!D4,Members!$L$1,0)</f>
        <v>80</v>
      </c>
      <c r="F28" s="12" t="str">
        <f t="shared" ca="1" si="0"/>
        <v>Senior/Benefits</v>
      </c>
      <c r="G28" s="12" t="s">
        <v>89</v>
      </c>
      <c r="H28" s="12" t="s">
        <v>283</v>
      </c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1:25">
      <c r="A29" s="11"/>
      <c r="B29" s="11"/>
      <c r="C29" s="12" t="str">
        <f ca="1">OFFSET(Members!G5,Members!$L$1,0)</f>
        <v>M05</v>
      </c>
      <c r="D29" s="31" t="s">
        <v>50</v>
      </c>
      <c r="E29" s="12">
        <f ca="1">OFFSET(Members!D5,Members!$L$1,0)</f>
        <v>23</v>
      </c>
      <c r="F29" s="12" t="str">
        <f t="shared" ca="1" si="0"/>
        <v>Adult</v>
      </c>
      <c r="G29" s="12" t="s">
        <v>89</v>
      </c>
      <c r="H29" s="12" t="s">
        <v>281</v>
      </c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1:25">
      <c r="A30" s="11"/>
      <c r="B30" s="11"/>
      <c r="C30" s="12" t="str">
        <f ca="1">OFFSET(Members!G6,Members!$L$1,0)</f>
        <v>M06</v>
      </c>
      <c r="D30" s="31" t="s">
        <v>51</v>
      </c>
      <c r="E30" s="12">
        <f ca="1">OFFSET(Members!D6,Members!$L$1,0)</f>
        <v>12</v>
      </c>
      <c r="F30" s="12" t="str">
        <f t="shared" ca="1" si="0"/>
        <v>Child</v>
      </c>
      <c r="G30" s="12" t="s">
        <v>89</v>
      </c>
      <c r="H30" s="12" t="s">
        <v>283</v>
      </c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1:25">
      <c r="A31" s="11"/>
      <c r="B31" s="11"/>
      <c r="C31" s="12" t="str">
        <f ca="1">OFFSET(Members!G7,Members!$L$1,0)</f>
        <v>M07</v>
      </c>
      <c r="D31" s="31" t="s">
        <v>52</v>
      </c>
      <c r="E31" s="12">
        <f ca="1">OFFSET(Members!D7,Members!$L$1,0)</f>
        <v>18</v>
      </c>
      <c r="F31" s="12" t="str">
        <f t="shared" ca="1" si="0"/>
        <v>Student</v>
      </c>
      <c r="G31" s="12" t="s">
        <v>89</v>
      </c>
      <c r="H31" s="12" t="s">
        <v>282</v>
      </c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1:25">
      <c r="A32" s="11"/>
      <c r="B32" s="11"/>
      <c r="C32" s="12" t="str">
        <f ca="1">OFFSET(Members!G8,Members!$L$1,0)</f>
        <v>M08</v>
      </c>
      <c r="D32" s="31" t="s">
        <v>53</v>
      </c>
      <c r="E32" s="12">
        <f ca="1">OFFSET(Members!D8,Members!$L$1,0)</f>
        <v>18</v>
      </c>
      <c r="F32" s="12" t="str">
        <f t="shared" ca="1" si="0"/>
        <v>Student</v>
      </c>
      <c r="G32" s="12" t="s">
        <v>89</v>
      </c>
      <c r="H32" s="12" t="s">
        <v>281</v>
      </c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25">
      <c r="A33" s="11"/>
      <c r="B33" s="11"/>
      <c r="C33" s="12" t="str">
        <f ca="1">OFFSET(Members!G9,Members!$L$1,0)</f>
        <v>M09</v>
      </c>
      <c r="D33" s="31" t="s">
        <v>54</v>
      </c>
      <c r="E33" s="12">
        <f ca="1">OFFSET(Members!D9,Members!$L$1,0)</f>
        <v>19</v>
      </c>
      <c r="F33" s="12" t="s">
        <v>212</v>
      </c>
      <c r="G33" s="12" t="s">
        <v>89</v>
      </c>
      <c r="H33" s="12" t="s">
        <v>283</v>
      </c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1:25">
      <c r="A34" s="11"/>
      <c r="B34" s="11"/>
      <c r="C34" s="12" t="str">
        <f ca="1">OFFSET(Members!G10,Members!$L$1,0)</f>
        <v>M10</v>
      </c>
      <c r="D34" s="31" t="s">
        <v>55</v>
      </c>
      <c r="E34" s="12">
        <f ca="1">OFFSET(Members!D10,Members!$L$1,0)</f>
        <v>47</v>
      </c>
      <c r="F34" s="12" t="str">
        <f t="shared" ref="F34:F45" ca="1" si="1">IF(AND(E34&gt;0,E34&lt;=15),"Child",IF(AND(E34&gt;16,E34&lt;=18),"Student",IF(AND(E34&gt;19,E34&lt;=49),"Adult",IF(AND(E34&gt;50,E34&lt;=100),"Senior/Benefits"))))</f>
        <v>Adult</v>
      </c>
      <c r="G34" s="12" t="s">
        <v>89</v>
      </c>
      <c r="H34" s="12" t="s">
        <v>282</v>
      </c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1:25">
      <c r="A35" s="11"/>
      <c r="B35" s="11"/>
      <c r="C35" s="12" t="str">
        <f ca="1">OFFSET(Members!G11,Members!$L$1,0)</f>
        <v>M11</v>
      </c>
      <c r="D35" s="31" t="s">
        <v>56</v>
      </c>
      <c r="E35" s="12">
        <f ca="1">OFFSET(Members!D11,Members!$L$1,0)</f>
        <v>52</v>
      </c>
      <c r="F35" s="12" t="str">
        <f t="shared" ca="1" si="1"/>
        <v>Senior/Benefits</v>
      </c>
      <c r="G35" s="12" t="s">
        <v>89</v>
      </c>
      <c r="H35" s="12" t="s">
        <v>283</v>
      </c>
      <c r="I35" s="11"/>
      <c r="J35" s="11"/>
      <c r="K35" s="11"/>
      <c r="L35" s="11"/>
      <c r="M35" s="11"/>
      <c r="N35" s="11"/>
      <c r="O35" s="11"/>
      <c r="P35" s="64"/>
      <c r="Q35" s="11"/>
      <c r="R35" s="11"/>
      <c r="S35" s="11"/>
      <c r="T35" s="11"/>
      <c r="U35" s="11"/>
      <c r="V35" s="11"/>
      <c r="W35" s="11"/>
      <c r="X35" s="11"/>
      <c r="Y35" s="11"/>
    </row>
    <row r="36" spans="1:25">
      <c r="A36" s="11"/>
      <c r="B36" s="11"/>
      <c r="C36" s="12" t="str">
        <f ca="1">OFFSET(Members!G12,Members!$L$1,0)</f>
        <v>M12</v>
      </c>
      <c r="D36" s="31" t="s">
        <v>57</v>
      </c>
      <c r="E36" s="12">
        <f ca="1">OFFSET(Members!D12,Members!$L$1,0)</f>
        <v>36</v>
      </c>
      <c r="F36" s="12" t="str">
        <f t="shared" ca="1" si="1"/>
        <v>Adult</v>
      </c>
      <c r="G36" s="12" t="s">
        <v>89</v>
      </c>
      <c r="H36" s="12" t="s">
        <v>283</v>
      </c>
      <c r="I36" s="11"/>
      <c r="J36" s="11"/>
      <c r="K36" s="11"/>
      <c r="L36" s="11"/>
      <c r="M36" s="11"/>
      <c r="N36" s="11"/>
      <c r="O36" s="11"/>
      <c r="P36" s="64"/>
      <c r="Q36" s="11"/>
      <c r="R36" s="11"/>
      <c r="S36" s="11"/>
      <c r="T36" s="11"/>
      <c r="U36" s="11"/>
      <c r="V36" s="11"/>
      <c r="W36" s="11"/>
      <c r="X36" s="11"/>
      <c r="Y36" s="11"/>
    </row>
    <row r="37" spans="1:25">
      <c r="A37" s="11"/>
      <c r="B37" s="11"/>
      <c r="C37" s="12" t="str">
        <f ca="1">OFFSET(Members!G13,Members!$L$1,0)</f>
        <v>M13</v>
      </c>
      <c r="D37" s="31" t="s">
        <v>58</v>
      </c>
      <c r="E37" s="12">
        <f ca="1">OFFSET(Members!D13,Members!$L$1,0)</f>
        <v>35</v>
      </c>
      <c r="F37" s="12" t="str">
        <f t="shared" ca="1" si="1"/>
        <v>Adult</v>
      </c>
      <c r="G37" s="12" t="s">
        <v>89</v>
      </c>
      <c r="H37" s="12" t="s">
        <v>281</v>
      </c>
      <c r="I37" s="11"/>
      <c r="J37" s="11"/>
      <c r="K37" s="11"/>
      <c r="L37" s="11"/>
      <c r="M37" s="11"/>
      <c r="N37" s="11"/>
      <c r="O37" s="11"/>
      <c r="P37" s="64"/>
      <c r="Q37" s="11"/>
      <c r="R37" s="11"/>
      <c r="S37" s="11"/>
      <c r="T37" s="11"/>
      <c r="U37" s="11"/>
      <c r="V37" s="11"/>
      <c r="W37" s="11"/>
      <c r="X37" s="11"/>
      <c r="Y37" s="11"/>
    </row>
    <row r="38" spans="1:25">
      <c r="A38" s="11"/>
      <c r="B38" s="11"/>
      <c r="C38" s="12" t="str">
        <f ca="1">OFFSET(Members!G14,Members!$L$1,0)</f>
        <v>M14</v>
      </c>
      <c r="D38" s="31" t="s">
        <v>59</v>
      </c>
      <c r="E38" s="12">
        <f ca="1">OFFSET(Members!D14,Members!$L$1,0)</f>
        <v>26</v>
      </c>
      <c r="F38" s="12" t="str">
        <f t="shared" ca="1" si="1"/>
        <v>Adult</v>
      </c>
      <c r="G38" s="12" t="s">
        <v>89</v>
      </c>
      <c r="H38" s="12" t="s">
        <v>282</v>
      </c>
      <c r="I38" s="11"/>
      <c r="J38" s="11"/>
      <c r="K38" s="11"/>
      <c r="L38" s="11"/>
      <c r="M38" s="11"/>
      <c r="N38" s="11"/>
      <c r="O38" s="11"/>
      <c r="P38" s="64"/>
      <c r="Q38" s="11"/>
      <c r="R38" s="11"/>
      <c r="S38" s="11"/>
      <c r="T38" s="11"/>
      <c r="U38" s="11"/>
      <c r="V38" s="11"/>
      <c r="W38" s="11"/>
      <c r="X38" s="11"/>
      <c r="Y38" s="11"/>
    </row>
    <row r="39" spans="1:25">
      <c r="A39" s="11"/>
      <c r="B39" s="11"/>
      <c r="C39" s="12" t="str">
        <f ca="1">OFFSET(Members!G15,Members!$L$1,0)</f>
        <v>M15</v>
      </c>
      <c r="D39" s="31" t="s">
        <v>60</v>
      </c>
      <c r="E39" s="12">
        <f ca="1">OFFSET(Members!D15,Members!$L$1,0)</f>
        <v>48</v>
      </c>
      <c r="F39" s="12" t="str">
        <f t="shared" ca="1" si="1"/>
        <v>Adult</v>
      </c>
      <c r="G39" s="12" t="s">
        <v>89</v>
      </c>
      <c r="H39" s="12" t="s">
        <v>283</v>
      </c>
      <c r="I39" s="11"/>
      <c r="J39" s="11"/>
      <c r="K39" s="11"/>
      <c r="L39" s="11"/>
      <c r="M39" s="11"/>
      <c r="N39" s="11"/>
      <c r="O39" s="11"/>
      <c r="P39" s="64"/>
      <c r="Q39" s="11"/>
      <c r="R39" s="11"/>
      <c r="S39" s="11"/>
      <c r="T39" s="11"/>
      <c r="U39" s="11"/>
      <c r="V39" s="11"/>
      <c r="W39" s="11"/>
      <c r="X39" s="11"/>
      <c r="Y39" s="11"/>
    </row>
    <row r="40" spans="1:25">
      <c r="A40" s="11"/>
      <c r="B40" s="11"/>
      <c r="C40" s="12" t="str">
        <f ca="1">OFFSET(Members!G16,Members!$L$1,0)</f>
        <v>M16</v>
      </c>
      <c r="D40" s="31" t="s">
        <v>61</v>
      </c>
      <c r="E40" s="12">
        <f ca="1">OFFSET(Members!D16,Members!$L$1,0)</f>
        <v>51</v>
      </c>
      <c r="F40" s="12" t="str">
        <f t="shared" ca="1" si="1"/>
        <v>Senior/Benefits</v>
      </c>
      <c r="G40" s="12" t="s">
        <v>89</v>
      </c>
      <c r="H40" s="12" t="s">
        <v>282</v>
      </c>
      <c r="I40" s="11"/>
      <c r="J40" s="11"/>
      <c r="K40" s="11"/>
      <c r="L40" s="11"/>
      <c r="M40" s="11"/>
      <c r="N40" s="11"/>
      <c r="O40" s="11"/>
      <c r="P40" s="64"/>
      <c r="Q40" s="11"/>
      <c r="R40" s="11"/>
      <c r="S40" s="11"/>
      <c r="T40" s="11"/>
      <c r="U40" s="11"/>
      <c r="V40" s="11"/>
      <c r="W40" s="11"/>
      <c r="X40" s="11"/>
      <c r="Y40" s="11"/>
    </row>
    <row r="41" spans="1:25">
      <c r="A41" s="11"/>
      <c r="B41" s="11"/>
      <c r="C41" s="12" t="str">
        <f ca="1">OFFSET(Members!G17,Members!$L$1,0)</f>
        <v>M17</v>
      </c>
      <c r="D41" s="31" t="s">
        <v>62</v>
      </c>
      <c r="E41" s="12">
        <f ca="1">OFFSET(Members!D17,Members!$L$1,0)</f>
        <v>20</v>
      </c>
      <c r="F41" s="12" t="str">
        <f t="shared" ca="1" si="1"/>
        <v>Adult</v>
      </c>
      <c r="G41" s="12" t="s">
        <v>89</v>
      </c>
      <c r="H41" s="12" t="s">
        <v>282</v>
      </c>
      <c r="I41" s="11"/>
      <c r="J41" s="11"/>
      <c r="K41" s="11"/>
      <c r="L41" s="11"/>
      <c r="M41" s="11"/>
      <c r="N41" s="11"/>
      <c r="O41" s="11"/>
      <c r="P41" s="64"/>
      <c r="Q41" s="11"/>
      <c r="R41" s="11"/>
      <c r="S41" s="11"/>
      <c r="T41" s="11"/>
      <c r="U41" s="11"/>
      <c r="V41" s="11"/>
      <c r="W41" s="11"/>
      <c r="X41" s="11"/>
      <c r="Y41" s="11"/>
    </row>
    <row r="42" spans="1:25">
      <c r="A42" s="11"/>
      <c r="B42" s="11"/>
      <c r="C42" s="12" t="str">
        <f ca="1">OFFSET(Members!G18,Members!$L$1,0)</f>
        <v>M18</v>
      </c>
      <c r="D42" s="31" t="s">
        <v>63</v>
      </c>
      <c r="E42" s="12">
        <f ca="1">OFFSET(Members!D18,Members!$L$1,0)</f>
        <v>91</v>
      </c>
      <c r="F42" s="12" t="str">
        <f t="shared" ca="1" si="1"/>
        <v>Senior/Benefits</v>
      </c>
      <c r="G42" s="12" t="s">
        <v>89</v>
      </c>
      <c r="H42" s="12" t="s">
        <v>283</v>
      </c>
      <c r="I42" s="11"/>
      <c r="J42" s="11"/>
      <c r="K42" s="11"/>
      <c r="L42" s="11"/>
      <c r="M42" s="11"/>
      <c r="N42" s="11"/>
      <c r="O42" s="11"/>
      <c r="P42" s="64"/>
      <c r="Q42" s="11"/>
      <c r="R42" s="11"/>
      <c r="S42" s="11"/>
      <c r="T42" s="11"/>
      <c r="U42" s="11"/>
      <c r="V42" s="11"/>
      <c r="W42" s="11"/>
      <c r="X42" s="11"/>
      <c r="Y42" s="11"/>
    </row>
    <row r="43" spans="1:25">
      <c r="A43" s="11"/>
      <c r="B43" s="11"/>
      <c r="C43" s="12" t="str">
        <f ca="1">OFFSET(Members!G19,Members!$L$1,0)</f>
        <v>M19</v>
      </c>
      <c r="D43" s="31" t="s">
        <v>64</v>
      </c>
      <c r="E43" s="12">
        <f ca="1">OFFSET(Members!D19,Members!$L$1,0)</f>
        <v>22</v>
      </c>
      <c r="F43" s="12" t="str">
        <f t="shared" ca="1" si="1"/>
        <v>Adult</v>
      </c>
      <c r="G43" s="12" t="s">
        <v>89</v>
      </c>
      <c r="H43" s="12" t="s">
        <v>281</v>
      </c>
      <c r="I43" s="11"/>
      <c r="J43" s="11"/>
      <c r="K43" s="11"/>
      <c r="L43" s="11"/>
      <c r="M43" s="11"/>
      <c r="N43" s="11"/>
      <c r="O43" s="11"/>
      <c r="P43" s="64"/>
      <c r="Q43" s="11"/>
      <c r="R43" s="11"/>
      <c r="S43" s="11"/>
      <c r="T43" s="11"/>
      <c r="U43" s="11"/>
      <c r="V43" s="11"/>
      <c r="W43" s="11"/>
      <c r="X43" s="11"/>
      <c r="Y43" s="11"/>
    </row>
    <row r="44" spans="1:25">
      <c r="A44" s="11"/>
      <c r="B44" s="11"/>
      <c r="C44" s="12" t="str">
        <f ca="1">OFFSET(Members!G20,Members!$L$1,0)</f>
        <v>M20</v>
      </c>
      <c r="D44" s="31" t="s">
        <v>65</v>
      </c>
      <c r="E44" s="12">
        <f ca="1">OFFSET(Members!D20,Members!$L$1,0)</f>
        <v>18</v>
      </c>
      <c r="F44" s="12" t="str">
        <f t="shared" ca="1" si="1"/>
        <v>Student</v>
      </c>
      <c r="G44" s="12" t="s">
        <v>89</v>
      </c>
      <c r="H44" s="12" t="s">
        <v>283</v>
      </c>
      <c r="I44" s="11"/>
      <c r="J44" s="11"/>
      <c r="K44" s="11"/>
      <c r="L44" s="11"/>
      <c r="M44" s="11"/>
      <c r="N44" s="11"/>
      <c r="O44" s="11"/>
      <c r="P44" s="64"/>
      <c r="Q44" s="11"/>
      <c r="R44" s="11"/>
      <c r="S44" s="11"/>
      <c r="T44" s="11"/>
      <c r="U44" s="11"/>
      <c r="V44" s="11"/>
      <c r="W44" s="11"/>
      <c r="X44" s="11"/>
      <c r="Y44" s="11"/>
    </row>
    <row r="45" spans="1:25">
      <c r="A45" s="11"/>
      <c r="B45" s="11"/>
      <c r="C45" s="12" t="str">
        <f ca="1">OFFSET(Members!G21,Members!$L$1,0)</f>
        <v>M21</v>
      </c>
      <c r="D45" s="31" t="s">
        <v>66</v>
      </c>
      <c r="E45" s="12">
        <f ca="1">OFFSET(Members!D21,Members!$L$1,0)</f>
        <v>18</v>
      </c>
      <c r="F45" s="12" t="str">
        <f t="shared" ca="1" si="1"/>
        <v>Student</v>
      </c>
      <c r="G45" s="12" t="s">
        <v>89</v>
      </c>
      <c r="H45" s="12" t="s">
        <v>283</v>
      </c>
      <c r="I45" s="11"/>
      <c r="J45" s="11"/>
      <c r="K45" s="11"/>
      <c r="L45" s="11"/>
      <c r="M45" s="11"/>
      <c r="N45" s="11"/>
      <c r="O45" s="11"/>
      <c r="P45" s="64"/>
      <c r="Q45" s="11"/>
      <c r="R45" s="11"/>
      <c r="S45" s="11"/>
      <c r="T45" s="11"/>
      <c r="U45" s="11"/>
      <c r="V45" s="11"/>
      <c r="W45" s="11"/>
      <c r="X45" s="11"/>
      <c r="Y45" s="11"/>
    </row>
    <row r="46" spans="1:25">
      <c r="A46" s="11"/>
      <c r="B46" s="11"/>
      <c r="C46" s="12" t="str">
        <f ca="1">OFFSET(Members!G22,Members!$L$1,0)</f>
        <v>M22</v>
      </c>
      <c r="D46" s="31" t="s">
        <v>67</v>
      </c>
      <c r="E46" s="12">
        <f ca="1">OFFSET(Members!D22,Members!$L$1,0)</f>
        <v>19</v>
      </c>
      <c r="F46" s="12" t="s">
        <v>212</v>
      </c>
      <c r="G46" s="12" t="s">
        <v>89</v>
      </c>
      <c r="H46" s="12" t="s">
        <v>282</v>
      </c>
      <c r="I46" s="11"/>
      <c r="J46" s="11"/>
      <c r="K46" s="11"/>
      <c r="L46" s="11"/>
      <c r="M46" s="11"/>
      <c r="N46" s="11"/>
      <c r="O46" s="11"/>
      <c r="P46" s="64"/>
      <c r="Q46" s="11"/>
      <c r="R46" s="11"/>
      <c r="S46" s="11"/>
      <c r="T46" s="11"/>
      <c r="U46" s="11"/>
      <c r="V46" s="11"/>
      <c r="W46" s="11"/>
      <c r="X46" s="11"/>
      <c r="Y46" s="11"/>
    </row>
    <row r="47" spans="1:25">
      <c r="A47" s="11"/>
      <c r="B47" s="11"/>
      <c r="C47" s="12" t="str">
        <f ca="1">OFFSET(Members!G23,Members!$L$1,0)</f>
        <v>M23</v>
      </c>
      <c r="D47" s="31" t="s">
        <v>68</v>
      </c>
      <c r="E47" s="12">
        <f ca="1">OFFSET(Members!D23,Members!$L$1,0)</f>
        <v>20</v>
      </c>
      <c r="F47" s="12" t="str">
        <f ca="1">IF(AND(E47&gt;0,E47&lt;=15),"Child",IF(AND(E47&gt;16,E47&lt;=18),"Student",IF(AND(E47&gt;19,E47&lt;=49),"Adult",IF(AND(E47&gt;50,E47&lt;=100),"Senior/Benefits"))))</f>
        <v>Adult</v>
      </c>
      <c r="G47" s="12" t="s">
        <v>89</v>
      </c>
      <c r="H47" s="12" t="s">
        <v>282</v>
      </c>
      <c r="I47" s="11"/>
      <c r="J47" s="11"/>
      <c r="K47" s="11"/>
      <c r="L47" s="11"/>
      <c r="M47" s="11"/>
      <c r="N47" s="11"/>
      <c r="O47" s="11"/>
      <c r="P47" s="64"/>
      <c r="Q47" s="11"/>
      <c r="R47" s="11"/>
      <c r="S47" s="11"/>
      <c r="T47" s="11"/>
      <c r="U47" s="11"/>
      <c r="V47" s="11"/>
      <c r="W47" s="11"/>
      <c r="X47" s="11"/>
      <c r="Y47" s="11"/>
    </row>
    <row r="48" spans="1:25">
      <c r="A48" s="11"/>
      <c r="B48" s="11"/>
      <c r="C48" s="12" t="str">
        <f ca="1">OFFSET(Members!G24,Members!$L$1,0)</f>
        <v>M24</v>
      </c>
      <c r="D48" s="41" t="s">
        <v>159</v>
      </c>
      <c r="E48" s="12">
        <f ca="1">OFFSET(Members!D24,Members!$L$1,0)</f>
        <v>17</v>
      </c>
      <c r="F48" s="12" t="str">
        <f t="shared" ref="F48:F55" ca="1" si="2">IF(AND(E48&gt;0,E48&lt;=15),"Child",IF(AND(E48&gt;16,E48&lt;=18),"Student",IF(AND(E48&gt;19,E48&lt;=49),"Adult",IF(AND(E48&gt;50,E48&lt;=100),"Senior/Benefits"))))</f>
        <v>Student</v>
      </c>
      <c r="G48" s="12" t="s">
        <v>89</v>
      </c>
      <c r="H48" s="12" t="s">
        <v>283</v>
      </c>
      <c r="I48" s="11"/>
      <c r="J48" s="11"/>
      <c r="K48" s="11"/>
      <c r="L48" s="11"/>
      <c r="M48" s="11"/>
      <c r="N48" s="11"/>
      <c r="O48" s="11"/>
      <c r="P48" s="64"/>
      <c r="Q48" s="11"/>
      <c r="R48" s="11"/>
      <c r="S48" s="11"/>
      <c r="T48" s="11"/>
      <c r="U48" s="11"/>
      <c r="V48" s="11"/>
      <c r="W48" s="11"/>
      <c r="X48" s="11"/>
      <c r="Y48" s="11"/>
    </row>
    <row r="49" spans="1:25">
      <c r="A49" s="11"/>
      <c r="B49" s="11"/>
      <c r="C49" s="12" t="str">
        <f ca="1">OFFSET(Members!G25,Members!$L$1,0)</f>
        <v>M25</v>
      </c>
      <c r="D49" s="41" t="s">
        <v>160</v>
      </c>
      <c r="E49" s="12">
        <f ca="1">OFFSET(Members!D25,Members!$L$1,0)</f>
        <v>16</v>
      </c>
      <c r="F49" s="12" t="s">
        <v>258</v>
      </c>
      <c r="G49" s="12" t="s">
        <v>89</v>
      </c>
      <c r="H49" s="12" t="s">
        <v>282</v>
      </c>
      <c r="I49" s="11"/>
      <c r="J49" s="11"/>
      <c r="K49" s="11"/>
      <c r="L49" s="11"/>
      <c r="M49" s="11"/>
      <c r="N49" s="11"/>
      <c r="O49" s="11"/>
      <c r="P49" s="64"/>
      <c r="Q49" s="11"/>
      <c r="R49" s="11"/>
      <c r="S49" s="11"/>
      <c r="T49" s="11"/>
      <c r="U49" s="11"/>
      <c r="V49" s="11"/>
      <c r="W49" s="11"/>
      <c r="X49" s="11"/>
      <c r="Y49" s="11"/>
    </row>
    <row r="50" spans="1:25">
      <c r="A50" s="11"/>
      <c r="B50" s="11"/>
      <c r="C50" s="12" t="str">
        <f ca="1">OFFSET(Members!G26,Members!$L$1,0)</f>
        <v>M26</v>
      </c>
      <c r="D50" s="41" t="s">
        <v>161</v>
      </c>
      <c r="E50" s="12">
        <f ca="1">OFFSET(Members!D26,Members!$L$1,0)</f>
        <v>24</v>
      </c>
      <c r="F50" s="12" t="str">
        <f t="shared" ca="1" si="2"/>
        <v>Adult</v>
      </c>
      <c r="G50" s="12" t="s">
        <v>90</v>
      </c>
      <c r="H50" s="12"/>
      <c r="I50" s="11"/>
      <c r="J50" s="11"/>
      <c r="K50" s="11"/>
      <c r="L50" s="11"/>
      <c r="M50" s="11"/>
      <c r="N50" s="11"/>
      <c r="O50" s="11"/>
      <c r="P50" s="64"/>
      <c r="Q50" s="11"/>
      <c r="R50" s="11"/>
      <c r="S50" s="11"/>
      <c r="T50" s="11"/>
      <c r="U50" s="11"/>
      <c r="V50" s="11"/>
      <c r="W50" s="11"/>
      <c r="X50" s="11"/>
      <c r="Y50" s="11"/>
    </row>
    <row r="51" spans="1:25">
      <c r="A51" s="11"/>
      <c r="B51" s="11"/>
      <c r="C51" s="12" t="str">
        <f ca="1">OFFSET(Members!G27,Members!$L$1,0)</f>
        <v>M27</v>
      </c>
      <c r="D51" s="41" t="s">
        <v>162</v>
      </c>
      <c r="E51" s="12">
        <f ca="1">OFFSET(Members!D27,Members!$L$1,0)</f>
        <v>35</v>
      </c>
      <c r="F51" s="12" t="str">
        <f t="shared" ca="1" si="2"/>
        <v>Adult</v>
      </c>
      <c r="G51" s="12" t="s">
        <v>90</v>
      </c>
      <c r="H51" s="12"/>
      <c r="I51" s="11"/>
      <c r="J51" s="11"/>
      <c r="K51" s="11"/>
      <c r="L51" s="11"/>
      <c r="M51" s="11"/>
      <c r="N51" s="11"/>
      <c r="O51" s="11"/>
      <c r="P51" s="64"/>
      <c r="Q51" s="11"/>
      <c r="R51" s="11"/>
      <c r="S51" s="11"/>
      <c r="T51" s="11"/>
      <c r="U51" s="11"/>
      <c r="V51" s="11"/>
      <c r="W51" s="11"/>
      <c r="X51" s="11"/>
      <c r="Y51" s="11"/>
    </row>
    <row r="52" spans="1:25">
      <c r="A52" s="11"/>
      <c r="B52" s="11"/>
      <c r="C52" s="12" t="str">
        <f ca="1">OFFSET(Members!G28,Members!$L$1,0)</f>
        <v>M28</v>
      </c>
      <c r="D52" s="41" t="s">
        <v>163</v>
      </c>
      <c r="E52" s="12">
        <f ca="1">OFFSET(Members!D28,Members!$L$1,0)</f>
        <v>32</v>
      </c>
      <c r="F52" s="12" t="str">
        <f t="shared" ca="1" si="2"/>
        <v>Adult</v>
      </c>
      <c r="G52" s="12" t="s">
        <v>90</v>
      </c>
      <c r="H52" s="12"/>
      <c r="I52" s="11"/>
      <c r="J52" s="11"/>
      <c r="K52" s="11"/>
      <c r="L52" s="11"/>
      <c r="M52" s="11"/>
      <c r="N52" s="11"/>
      <c r="O52" s="11"/>
      <c r="P52" s="64"/>
      <c r="Q52" s="11"/>
      <c r="R52" s="11"/>
      <c r="S52" s="11"/>
      <c r="T52" s="11"/>
      <c r="U52" s="11"/>
      <c r="V52" s="11"/>
      <c r="W52" s="11"/>
      <c r="X52" s="11"/>
      <c r="Y52" s="11"/>
    </row>
    <row r="53" spans="1:25">
      <c r="A53" s="11"/>
      <c r="B53" s="11"/>
      <c r="C53" s="12" t="str">
        <f ca="1">OFFSET(Members!G29,Members!$L$1,0)</f>
        <v>M29</v>
      </c>
      <c r="D53" s="41" t="s">
        <v>164</v>
      </c>
      <c r="E53" s="12">
        <f ca="1">OFFSET(Members!D29,Members!$L$1,0)</f>
        <v>71</v>
      </c>
      <c r="F53" s="12" t="str">
        <f t="shared" ca="1" si="2"/>
        <v>Senior/Benefits</v>
      </c>
      <c r="G53" s="12" t="s">
        <v>90</v>
      </c>
      <c r="H53" s="12"/>
      <c r="I53" s="11"/>
      <c r="J53" s="11"/>
      <c r="K53" s="11"/>
      <c r="L53" s="11"/>
      <c r="M53" s="11"/>
      <c r="N53" s="11"/>
      <c r="O53" s="11"/>
      <c r="P53" s="64"/>
      <c r="Q53" s="11"/>
      <c r="R53" s="11"/>
      <c r="S53" s="11"/>
      <c r="T53" s="11"/>
      <c r="U53" s="11"/>
      <c r="V53" s="11"/>
      <c r="W53" s="11"/>
      <c r="X53" s="11"/>
      <c r="Y53" s="11"/>
    </row>
    <row r="54" spans="1:25">
      <c r="A54" s="11"/>
      <c r="B54" s="11"/>
      <c r="C54" s="12" t="str">
        <f ca="1">OFFSET(Members!G30,Members!$L$1,0)</f>
        <v>M30</v>
      </c>
      <c r="D54" s="41" t="s">
        <v>165</v>
      </c>
      <c r="E54" s="12">
        <f ca="1">OFFSET(Members!D30,Members!$L$1,0)</f>
        <v>81</v>
      </c>
      <c r="F54" s="12" t="str">
        <f t="shared" ca="1" si="2"/>
        <v>Senior/Benefits</v>
      </c>
      <c r="G54" s="12" t="s">
        <v>90</v>
      </c>
      <c r="H54" s="12"/>
      <c r="I54" s="11"/>
      <c r="J54" s="11"/>
      <c r="K54" s="11"/>
      <c r="L54" s="11"/>
      <c r="M54" s="11"/>
      <c r="N54" s="11"/>
      <c r="O54" s="11"/>
      <c r="P54" s="64"/>
      <c r="Q54" s="11"/>
      <c r="R54" s="11"/>
      <c r="S54" s="11"/>
      <c r="T54" s="11"/>
      <c r="U54" s="11"/>
      <c r="V54" s="11"/>
      <c r="W54" s="11"/>
      <c r="X54" s="11"/>
      <c r="Y54" s="11"/>
    </row>
    <row r="55" spans="1:25">
      <c r="A55" s="11"/>
      <c r="B55" s="11"/>
      <c r="C55" s="12" t="str">
        <f ca="1">OFFSET(Members!G31,Members!$L$1,0)</f>
        <v>M31</v>
      </c>
      <c r="D55" s="42" t="s">
        <v>166</v>
      </c>
      <c r="E55" s="12">
        <f ca="1">OFFSET(Members!D31,Members!$L$1,0)</f>
        <v>24</v>
      </c>
      <c r="F55" s="12" t="str">
        <f t="shared" ca="1" si="2"/>
        <v>Adult</v>
      </c>
      <c r="G55" s="12" t="s">
        <v>90</v>
      </c>
      <c r="H55" s="12"/>
      <c r="I55" s="11"/>
      <c r="J55" s="11"/>
      <c r="K55" s="11"/>
      <c r="L55" s="11"/>
      <c r="M55" s="11"/>
      <c r="N55" s="11"/>
      <c r="O55" s="11"/>
      <c r="P55" s="64"/>
      <c r="Q55" s="11"/>
      <c r="R55" s="11"/>
      <c r="S55" s="11"/>
      <c r="T55" s="11"/>
      <c r="U55" s="11"/>
      <c r="V55" s="11"/>
      <c r="W55" s="11"/>
      <c r="X55" s="11"/>
      <c r="Y55" s="11"/>
    </row>
    <row r="56" spans="1:25">
      <c r="A56" s="11"/>
      <c r="B56" s="11"/>
      <c r="C56" s="166"/>
      <c r="D56" s="166"/>
      <c r="E56" s="166"/>
      <c r="F56" s="166"/>
      <c r="G56" s="166"/>
      <c r="H56" s="166"/>
      <c r="I56" s="11"/>
      <c r="J56" s="11"/>
      <c r="K56" s="11"/>
      <c r="L56" s="11"/>
      <c r="M56" s="11"/>
      <c r="N56" s="11"/>
      <c r="O56" s="11"/>
      <c r="P56" s="64"/>
      <c r="Q56" s="11"/>
      <c r="R56" s="11"/>
      <c r="S56" s="11"/>
      <c r="T56" s="11"/>
      <c r="U56" s="11"/>
      <c r="V56" s="11"/>
      <c r="W56" s="11"/>
      <c r="X56" s="11"/>
      <c r="Y56" s="11"/>
    </row>
    <row r="57" spans="1:25">
      <c r="A57" s="11"/>
      <c r="B57" s="11"/>
      <c r="C57" s="166"/>
      <c r="D57" s="166"/>
      <c r="E57" s="166"/>
      <c r="F57" s="166"/>
      <c r="G57" s="166"/>
      <c r="H57" s="166"/>
      <c r="I57" s="11"/>
      <c r="J57" s="11"/>
      <c r="K57" s="11"/>
      <c r="L57" s="11"/>
      <c r="M57" s="11"/>
      <c r="N57" s="11"/>
      <c r="O57" s="11"/>
      <c r="P57" s="64"/>
      <c r="Q57" s="11"/>
      <c r="R57" s="11"/>
      <c r="S57" s="11"/>
      <c r="T57" s="11"/>
      <c r="U57" s="11"/>
      <c r="V57" s="11"/>
      <c r="W57" s="11"/>
      <c r="X57" s="11"/>
      <c r="Y57" s="11"/>
    </row>
    <row r="58" spans="1:25">
      <c r="A58" s="11"/>
      <c r="B58" s="11"/>
      <c r="C58" s="166"/>
      <c r="D58" s="166"/>
      <c r="E58" s="166"/>
      <c r="F58" s="166"/>
      <c r="G58" s="166"/>
      <c r="H58" s="166"/>
      <c r="I58" s="11"/>
      <c r="J58" s="11"/>
      <c r="K58" s="11"/>
      <c r="L58" s="11"/>
      <c r="M58" s="11"/>
      <c r="N58" s="11"/>
      <c r="O58" s="11"/>
      <c r="P58" s="65"/>
      <c r="Q58" s="11"/>
      <c r="R58" s="11"/>
      <c r="S58" s="11"/>
      <c r="T58" s="11"/>
      <c r="U58" s="11"/>
      <c r="V58" s="11"/>
      <c r="W58" s="11"/>
      <c r="X58" s="11"/>
      <c r="Y58" s="11"/>
    </row>
    <row r="59" spans="1:25">
      <c r="A59" s="11"/>
      <c r="B59" s="11"/>
      <c r="C59" s="166"/>
      <c r="D59" s="166"/>
      <c r="E59" s="166"/>
      <c r="F59" s="166"/>
      <c r="G59" s="166"/>
      <c r="H59" s="166"/>
      <c r="I59" s="11"/>
      <c r="J59" s="11"/>
      <c r="K59" s="11"/>
      <c r="L59" s="11"/>
      <c r="M59" s="11"/>
      <c r="N59" s="11"/>
      <c r="O59" s="11"/>
      <c r="P59" s="65"/>
      <c r="Q59" s="11"/>
      <c r="R59" s="11"/>
      <c r="S59" s="11"/>
      <c r="T59" s="11"/>
      <c r="U59" s="11"/>
      <c r="V59" s="11"/>
      <c r="W59" s="11"/>
      <c r="X59" s="11"/>
      <c r="Y59" s="11"/>
    </row>
    <row r="60" spans="1:25">
      <c r="A60" s="11"/>
      <c r="B60" s="11"/>
      <c r="C60" s="166"/>
      <c r="D60" s="166"/>
      <c r="E60" s="166"/>
      <c r="F60" s="166"/>
      <c r="G60" s="166"/>
      <c r="H60" s="166"/>
      <c r="I60" s="11"/>
      <c r="J60" s="11"/>
      <c r="K60" s="11"/>
      <c r="L60" s="11"/>
      <c r="M60" s="11"/>
      <c r="N60" s="11"/>
      <c r="O60" s="11"/>
      <c r="P60" s="65"/>
      <c r="Q60" s="11"/>
      <c r="R60" s="11"/>
      <c r="S60" s="11"/>
      <c r="T60" s="11"/>
      <c r="U60" s="11"/>
      <c r="V60" s="11"/>
      <c r="W60" s="11"/>
      <c r="X60" s="11"/>
      <c r="Y60" s="11"/>
    </row>
    <row r="61" spans="1:25">
      <c r="A61" s="11"/>
      <c r="B61" s="11"/>
      <c r="C61" s="92"/>
      <c r="D61" s="92"/>
      <c r="E61" s="92"/>
      <c r="F61" s="92"/>
      <c r="G61" s="92"/>
      <c r="H61" s="92"/>
      <c r="I61" s="92"/>
      <c r="J61" s="92"/>
      <c r="K61" s="92"/>
      <c r="L61" s="11"/>
      <c r="M61" s="11"/>
      <c r="N61" s="11"/>
      <c r="O61" s="11"/>
      <c r="P61" s="65"/>
      <c r="Q61" s="11"/>
      <c r="R61" s="11"/>
      <c r="S61" s="11"/>
      <c r="T61" s="11"/>
      <c r="U61" s="11"/>
      <c r="V61" s="11"/>
      <c r="W61" s="11"/>
      <c r="X61" s="11"/>
      <c r="Y61" s="11"/>
    </row>
    <row r="62" spans="1: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65"/>
      <c r="Q62" s="11"/>
      <c r="R62" s="11"/>
      <c r="S62" s="11"/>
      <c r="T62" s="11"/>
      <c r="U62" s="11"/>
      <c r="V62" s="11"/>
      <c r="W62" s="11"/>
      <c r="X62" s="11"/>
      <c r="Y62" s="11"/>
    </row>
    <row r="63" spans="1: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65"/>
      <c r="Q63" s="11"/>
      <c r="R63" s="11"/>
      <c r="S63" s="11"/>
      <c r="T63" s="11"/>
      <c r="U63" s="11"/>
      <c r="V63" s="11"/>
      <c r="W63" s="11"/>
      <c r="X63" s="11"/>
      <c r="Y63" s="11"/>
    </row>
    <row r="64" spans="1: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65"/>
      <c r="Q64" s="11"/>
      <c r="R64" s="11"/>
      <c r="S64" s="11"/>
      <c r="T64" s="11"/>
      <c r="U64" s="11"/>
      <c r="V64" s="11"/>
      <c r="W64" s="11"/>
      <c r="X64" s="11"/>
      <c r="Y64" s="11"/>
    </row>
    <row r="65" spans="1: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65"/>
      <c r="Q65" s="11"/>
      <c r="R65" s="11"/>
      <c r="S65" s="11"/>
      <c r="T65" s="11"/>
      <c r="U65" s="11"/>
      <c r="V65" s="11"/>
      <c r="W65" s="11"/>
      <c r="X65" s="11"/>
      <c r="Y65" s="11"/>
    </row>
    <row r="66" spans="1: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65"/>
      <c r="Q66" s="11"/>
      <c r="R66" s="11"/>
      <c r="S66" s="11"/>
      <c r="T66" s="11"/>
      <c r="U66" s="11"/>
      <c r="V66" s="11"/>
      <c r="W66" s="11"/>
      <c r="X66" s="11"/>
      <c r="Y66" s="11"/>
    </row>
    <row r="67" spans="1: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65"/>
      <c r="Q67" s="11"/>
      <c r="R67" s="11"/>
      <c r="S67" s="11"/>
      <c r="T67" s="11"/>
      <c r="U67" s="11"/>
      <c r="V67" s="11"/>
      <c r="W67" s="11"/>
      <c r="X67" s="11"/>
      <c r="Y67" s="11"/>
    </row>
    <row r="68" spans="1: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65"/>
      <c r="Q68" s="11"/>
      <c r="R68" s="11"/>
      <c r="S68" s="11"/>
      <c r="T68" s="11"/>
      <c r="U68" s="11"/>
      <c r="V68" s="11"/>
      <c r="W68" s="11"/>
      <c r="X68" s="11"/>
      <c r="Y68" s="11"/>
    </row>
    <row r="69" spans="1: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65"/>
      <c r="Q69" s="11"/>
      <c r="R69" s="11"/>
      <c r="S69" s="11"/>
      <c r="T69" s="11"/>
      <c r="U69" s="11"/>
      <c r="V69" s="11"/>
      <c r="W69" s="11"/>
      <c r="X69" s="11"/>
      <c r="Y69" s="11"/>
    </row>
    <row r="70" spans="1: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65"/>
      <c r="Q70" s="11"/>
      <c r="R70" s="11"/>
      <c r="S70" s="11"/>
      <c r="T70" s="11"/>
      <c r="U70" s="11"/>
      <c r="V70" s="11"/>
      <c r="W70" s="11"/>
      <c r="X70" s="11"/>
      <c r="Y70" s="11"/>
    </row>
    <row r="71" spans="1: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</row>
    <row r="72" spans="1: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</row>
    <row r="73" spans="1: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</row>
    <row r="74" spans="1: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</row>
    <row r="75" spans="1: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</row>
    <row r="76" spans="1: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</row>
    <row r="77" spans="1: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</row>
    <row r="78" spans="1: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</row>
  </sheetData>
  <sheetProtection sheet="1" objects="1" scenarios="1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embershipSubscriptions_MainMenu_Click">
                <anchor moveWithCells="1" sizeWithCells="1">
                  <from>
                    <xdr:col>7</xdr:col>
                    <xdr:colOff>914400</xdr:colOff>
                    <xdr:row>6</xdr:row>
                    <xdr:rowOff>47625</xdr:rowOff>
                  </from>
                  <to>
                    <xdr:col>8</xdr:col>
                    <xdr:colOff>1019175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225"/>
  <sheetViews>
    <sheetView zoomScale="80" zoomScaleNormal="80" workbookViewId="0">
      <selection activeCell="E9" sqref="E9"/>
    </sheetView>
  </sheetViews>
  <sheetFormatPr defaultRowHeight="15"/>
  <cols>
    <col min="1" max="1" width="28.140625" customWidth="1"/>
    <col min="2" max="2" width="20.7109375" customWidth="1"/>
    <col min="3" max="3" width="27.7109375" customWidth="1"/>
    <col min="4" max="4" width="27" customWidth="1"/>
    <col min="5" max="5" width="28.42578125" customWidth="1"/>
    <col min="6" max="6" width="87.85546875" customWidth="1"/>
    <col min="7" max="7" width="28.42578125" customWidth="1"/>
    <col min="8" max="8" width="32.28515625" customWidth="1"/>
    <col min="10" max="10" width="27.5703125" customWidth="1"/>
    <col min="11" max="11" width="34.42578125" customWidth="1"/>
    <col min="19" max="19" width="19.42578125" customWidth="1"/>
    <col min="20" max="20" width="9.7109375" customWidth="1"/>
    <col min="21" max="21" width="22.28515625" customWidth="1"/>
    <col min="22" max="22" width="24.5703125" customWidth="1"/>
    <col min="23" max="23" width="28" customWidth="1"/>
    <col min="24" max="24" width="30.28515625" customWidth="1"/>
    <col min="25" max="25" width="24" customWidth="1"/>
    <col min="26" max="26" width="22" customWidth="1"/>
    <col min="27" max="27" width="16.5703125" customWidth="1"/>
    <col min="28" max="28" width="41.140625" customWidth="1"/>
    <col min="29" max="29" width="27.7109375" customWidth="1"/>
  </cols>
  <sheetData>
    <row r="1" spans="1:29" ht="18.75">
      <c r="A1" s="180" t="s">
        <v>122</v>
      </c>
      <c r="B1" s="180" t="s">
        <v>121</v>
      </c>
      <c r="C1" s="181" t="s">
        <v>42</v>
      </c>
      <c r="D1" s="181" t="s">
        <v>39</v>
      </c>
      <c r="E1" s="181" t="s">
        <v>214</v>
      </c>
      <c r="F1" s="181" t="s">
        <v>19</v>
      </c>
      <c r="G1" s="181" t="s">
        <v>83</v>
      </c>
      <c r="H1" s="181" t="s">
        <v>93</v>
      </c>
      <c r="K1" s="29" t="s">
        <v>199</v>
      </c>
      <c r="L1">
        <v>1</v>
      </c>
      <c r="S1" s="33"/>
      <c r="T1" s="33"/>
      <c r="U1" s="33"/>
      <c r="V1" s="33"/>
      <c r="W1" s="33"/>
      <c r="X1" s="34"/>
      <c r="Y1" s="33"/>
      <c r="Z1" s="33"/>
      <c r="AA1" s="33"/>
      <c r="AB1" s="33"/>
      <c r="AC1" s="33"/>
    </row>
    <row r="2" spans="1:29" ht="18" thickBot="1">
      <c r="A2" s="173" t="s">
        <v>150</v>
      </c>
      <c r="B2" s="174" t="s">
        <v>126</v>
      </c>
      <c r="C2" s="171" t="s">
        <v>46</v>
      </c>
      <c r="D2" s="175">
        <v>30</v>
      </c>
      <c r="E2" s="172" t="str">
        <f>IF(AND(D2&gt;0,D2&lt;=15),"Child",IF(AND(D2&gt;16,D2&lt;=18),"Student",IF(AND(D2&gt;19,D2&lt;=49),"Adult",IF(AND(D2&gt;50,D2&lt;=100),"Senior/Benefits"))))</f>
        <v>Adult</v>
      </c>
      <c r="F2" s="176" t="s">
        <v>94</v>
      </c>
      <c r="G2" s="177" t="s">
        <v>79</v>
      </c>
      <c r="H2" s="178" t="s">
        <v>281</v>
      </c>
      <c r="L2" s="170" t="b">
        <v>1</v>
      </c>
      <c r="M2" s="170" t="b">
        <v>0</v>
      </c>
      <c r="N2" s="170" t="b">
        <v>0</v>
      </c>
    </row>
    <row r="3" spans="1:29" ht="18.75" thickTop="1" thickBot="1">
      <c r="A3" s="173" t="s">
        <v>146</v>
      </c>
      <c r="B3" s="174" t="s">
        <v>125</v>
      </c>
      <c r="C3" s="171" t="s">
        <v>47</v>
      </c>
      <c r="D3" s="175">
        <v>12</v>
      </c>
      <c r="E3" s="172" t="str">
        <f t="shared" ref="E3:E32" si="0">IF(AND(D3&gt;0,D3&lt;=15),"Child",IF(AND(D3&gt;16,D3&lt;=18),"Student",IF(AND(D3&gt;19,D3&lt;=49),"Adult",IF(AND(D3&gt;50,D3&lt;=100),"Senior/Benefits"))))</f>
        <v>Child</v>
      </c>
      <c r="F3" s="176" t="s">
        <v>95</v>
      </c>
      <c r="G3" s="177" t="s">
        <v>175</v>
      </c>
      <c r="H3" s="178" t="s">
        <v>282</v>
      </c>
      <c r="L3" s="170" t="b">
        <v>1</v>
      </c>
      <c r="M3" s="170" t="b">
        <v>0</v>
      </c>
      <c r="N3" s="170" t="b">
        <v>0</v>
      </c>
    </row>
    <row r="4" spans="1:29" ht="18.75" thickTop="1" thickBot="1">
      <c r="A4" s="173" t="s">
        <v>145</v>
      </c>
      <c r="B4" s="174" t="s">
        <v>123</v>
      </c>
      <c r="C4" s="171" t="s">
        <v>48</v>
      </c>
      <c r="D4" s="175">
        <v>24</v>
      </c>
      <c r="E4" s="172" t="str">
        <f t="shared" si="0"/>
        <v>Adult</v>
      </c>
      <c r="F4" s="176" t="s">
        <v>96</v>
      </c>
      <c r="G4" s="177" t="s">
        <v>176</v>
      </c>
      <c r="H4" s="178" t="s">
        <v>283</v>
      </c>
      <c r="L4" s="170" t="b">
        <v>0</v>
      </c>
      <c r="M4" s="170" t="b">
        <v>0</v>
      </c>
      <c r="N4" s="170" t="b">
        <v>0</v>
      </c>
    </row>
    <row r="5" spans="1:29" ht="18.75" thickTop="1" thickBot="1">
      <c r="A5" s="173" t="s">
        <v>144</v>
      </c>
      <c r="B5" s="174" t="s">
        <v>126</v>
      </c>
      <c r="C5" s="171" t="s">
        <v>49</v>
      </c>
      <c r="D5" s="175">
        <v>80</v>
      </c>
      <c r="E5" s="172" t="str">
        <f t="shared" si="0"/>
        <v>Senior/Benefits</v>
      </c>
      <c r="F5" s="176" t="s">
        <v>97</v>
      </c>
      <c r="G5" s="177" t="s">
        <v>177</v>
      </c>
      <c r="H5" s="178" t="s">
        <v>283</v>
      </c>
      <c r="L5" s="170" t="b">
        <v>0</v>
      </c>
      <c r="M5" s="170" t="b">
        <v>0</v>
      </c>
      <c r="N5" s="170" t="b">
        <v>0</v>
      </c>
    </row>
    <row r="6" spans="1:29" ht="18.75" thickTop="1" thickBot="1">
      <c r="A6" s="173" t="s">
        <v>128</v>
      </c>
      <c r="B6" s="174" t="s">
        <v>125</v>
      </c>
      <c r="C6" s="171" t="s">
        <v>50</v>
      </c>
      <c r="D6" s="175">
        <v>23</v>
      </c>
      <c r="E6" s="172" t="str">
        <f t="shared" si="0"/>
        <v>Adult</v>
      </c>
      <c r="F6" s="176" t="s">
        <v>98</v>
      </c>
      <c r="G6" s="177" t="s">
        <v>178</v>
      </c>
      <c r="H6" s="178" t="s">
        <v>281</v>
      </c>
      <c r="L6" s="170" t="b">
        <v>0</v>
      </c>
      <c r="M6" s="170" t="b">
        <v>0</v>
      </c>
      <c r="N6" s="170" t="b">
        <v>0</v>
      </c>
    </row>
    <row r="7" spans="1:29" ht="18.75" thickTop="1" thickBot="1">
      <c r="A7" s="173" t="s">
        <v>129</v>
      </c>
      <c r="B7" s="174" t="s">
        <v>123</v>
      </c>
      <c r="C7" s="171" t="s">
        <v>51</v>
      </c>
      <c r="D7" s="175">
        <v>12</v>
      </c>
      <c r="E7" s="172" t="str">
        <f t="shared" si="0"/>
        <v>Child</v>
      </c>
      <c r="F7" s="176" t="s">
        <v>99</v>
      </c>
      <c r="G7" s="177" t="s">
        <v>179</v>
      </c>
      <c r="H7" s="178" t="s">
        <v>283</v>
      </c>
      <c r="L7" s="170" t="b">
        <v>0</v>
      </c>
      <c r="M7" s="170" t="b">
        <v>0</v>
      </c>
      <c r="N7" s="170" t="b">
        <v>0</v>
      </c>
    </row>
    <row r="8" spans="1:29" ht="18.75" thickTop="1" thickBot="1">
      <c r="A8" s="173" t="s">
        <v>130</v>
      </c>
      <c r="B8" s="174" t="s">
        <v>126</v>
      </c>
      <c r="C8" s="171" t="s">
        <v>52</v>
      </c>
      <c r="D8" s="175">
        <v>18</v>
      </c>
      <c r="E8" s="172" t="str">
        <f t="shared" si="0"/>
        <v>Student</v>
      </c>
      <c r="F8" s="176" t="s">
        <v>100</v>
      </c>
      <c r="G8" s="177" t="s">
        <v>180</v>
      </c>
      <c r="H8" s="178" t="s">
        <v>282</v>
      </c>
      <c r="L8" s="170" t="b">
        <v>0</v>
      </c>
      <c r="M8" s="170" t="b">
        <v>0</v>
      </c>
      <c r="N8" s="170" t="b">
        <v>0</v>
      </c>
    </row>
    <row r="9" spans="1:29" ht="18.75" thickTop="1" thickBot="1">
      <c r="A9" s="173" t="s">
        <v>131</v>
      </c>
      <c r="B9" s="174" t="s">
        <v>125</v>
      </c>
      <c r="C9" s="171" t="s">
        <v>53</v>
      </c>
      <c r="D9" s="175">
        <v>18</v>
      </c>
      <c r="E9" s="172" t="str">
        <f t="shared" si="0"/>
        <v>Student</v>
      </c>
      <c r="F9" s="176" t="s">
        <v>101</v>
      </c>
      <c r="G9" s="177" t="s">
        <v>181</v>
      </c>
      <c r="H9" s="178" t="s">
        <v>281</v>
      </c>
      <c r="L9" s="170" t="b">
        <v>0</v>
      </c>
      <c r="M9" s="170" t="b">
        <v>0</v>
      </c>
      <c r="N9" s="170" t="b">
        <v>0</v>
      </c>
    </row>
    <row r="10" spans="1:29" ht="18.75" thickTop="1" thickBot="1">
      <c r="A10" s="173" t="s">
        <v>132</v>
      </c>
      <c r="B10" s="174" t="s">
        <v>123</v>
      </c>
      <c r="C10" s="171" t="s">
        <v>54</v>
      </c>
      <c r="D10" s="175">
        <v>19</v>
      </c>
      <c r="E10" s="172" t="s">
        <v>212</v>
      </c>
      <c r="F10" s="176" t="s">
        <v>102</v>
      </c>
      <c r="G10" s="177" t="s">
        <v>182</v>
      </c>
      <c r="H10" s="178" t="s">
        <v>283</v>
      </c>
      <c r="L10" s="170" t="b">
        <v>0</v>
      </c>
      <c r="M10" s="170" t="b">
        <v>0</v>
      </c>
      <c r="N10" s="170" t="b">
        <v>0</v>
      </c>
    </row>
    <row r="11" spans="1:29" ht="18.75" thickTop="1" thickBot="1">
      <c r="A11" s="173" t="s">
        <v>134</v>
      </c>
      <c r="B11" s="174" t="s">
        <v>124</v>
      </c>
      <c r="C11" s="171" t="s">
        <v>55</v>
      </c>
      <c r="D11" s="175">
        <v>47</v>
      </c>
      <c r="E11" s="172" t="str">
        <f t="shared" si="0"/>
        <v>Adult</v>
      </c>
      <c r="F11" s="176" t="s">
        <v>103</v>
      </c>
      <c r="G11" s="177" t="s">
        <v>87</v>
      </c>
      <c r="H11" s="178" t="s">
        <v>282</v>
      </c>
      <c r="L11" s="170" t="b">
        <v>0</v>
      </c>
      <c r="M11" s="170" t="b">
        <v>0</v>
      </c>
      <c r="N11" s="170" t="b">
        <v>0</v>
      </c>
    </row>
    <row r="12" spans="1:29" ht="18.75" thickTop="1" thickBot="1">
      <c r="A12" s="173" t="s">
        <v>133</v>
      </c>
      <c r="B12" s="174" t="s">
        <v>126</v>
      </c>
      <c r="C12" s="171" t="s">
        <v>56</v>
      </c>
      <c r="D12" s="175">
        <v>52</v>
      </c>
      <c r="E12" s="172" t="str">
        <f t="shared" si="0"/>
        <v>Senior/Benefits</v>
      </c>
      <c r="F12" s="176" t="s">
        <v>104</v>
      </c>
      <c r="G12" s="177" t="s">
        <v>86</v>
      </c>
      <c r="H12" s="178" t="s">
        <v>283</v>
      </c>
      <c r="L12" s="170" t="b">
        <v>1</v>
      </c>
      <c r="M12" s="170" t="b">
        <v>1</v>
      </c>
      <c r="N12" s="170" t="b">
        <v>1</v>
      </c>
    </row>
    <row r="13" spans="1:29" ht="18.75" thickTop="1" thickBot="1">
      <c r="A13" s="173" t="s">
        <v>135</v>
      </c>
      <c r="B13" s="174" t="s">
        <v>126</v>
      </c>
      <c r="C13" s="171" t="s">
        <v>57</v>
      </c>
      <c r="D13" s="175">
        <v>36</v>
      </c>
      <c r="E13" s="172" t="str">
        <f t="shared" si="0"/>
        <v>Adult</v>
      </c>
      <c r="F13" s="176" t="s">
        <v>105</v>
      </c>
      <c r="G13" s="177" t="s">
        <v>84</v>
      </c>
      <c r="H13" s="178" t="s">
        <v>283</v>
      </c>
      <c r="L13" s="170" t="b">
        <v>1</v>
      </c>
      <c r="M13" s="170" t="b">
        <v>1</v>
      </c>
      <c r="N13" s="170" t="b">
        <v>1</v>
      </c>
    </row>
    <row r="14" spans="1:29" ht="18.75" thickTop="1" thickBot="1">
      <c r="A14" s="173" t="s">
        <v>135</v>
      </c>
      <c r="B14" s="174" t="s">
        <v>124</v>
      </c>
      <c r="C14" s="171" t="s">
        <v>58</v>
      </c>
      <c r="D14" s="175">
        <v>35</v>
      </c>
      <c r="E14" s="172" t="str">
        <f t="shared" si="0"/>
        <v>Adult</v>
      </c>
      <c r="F14" s="176" t="s">
        <v>106</v>
      </c>
      <c r="G14" s="177" t="s">
        <v>183</v>
      </c>
      <c r="H14" s="178" t="s">
        <v>281</v>
      </c>
      <c r="L14" s="170" t="b">
        <v>1</v>
      </c>
      <c r="M14" s="170" t="b">
        <v>1</v>
      </c>
      <c r="N14" s="170" t="b">
        <v>1</v>
      </c>
    </row>
    <row r="15" spans="1:29" ht="18.75" thickTop="1" thickBot="1">
      <c r="A15" s="173" t="s">
        <v>136</v>
      </c>
      <c r="B15" s="174" t="s">
        <v>126</v>
      </c>
      <c r="C15" s="171" t="s">
        <v>59</v>
      </c>
      <c r="D15" s="175">
        <v>26</v>
      </c>
      <c r="E15" s="172" t="str">
        <f t="shared" si="0"/>
        <v>Adult</v>
      </c>
      <c r="F15" s="176" t="s">
        <v>107</v>
      </c>
      <c r="G15" s="177" t="s">
        <v>184</v>
      </c>
      <c r="H15" s="178" t="s">
        <v>282</v>
      </c>
      <c r="L15" s="170" t="b">
        <v>1</v>
      </c>
      <c r="M15" s="170" t="b">
        <v>1</v>
      </c>
      <c r="N15" s="170" t="b">
        <v>1</v>
      </c>
    </row>
    <row r="16" spans="1:29" ht="18.75" thickTop="1" thickBot="1">
      <c r="A16" s="173" t="s">
        <v>137</v>
      </c>
      <c r="B16" s="174" t="s">
        <v>123</v>
      </c>
      <c r="C16" s="171" t="s">
        <v>60</v>
      </c>
      <c r="D16" s="175">
        <v>48</v>
      </c>
      <c r="E16" s="172" t="str">
        <f t="shared" si="0"/>
        <v>Adult</v>
      </c>
      <c r="F16" s="176" t="s">
        <v>108</v>
      </c>
      <c r="G16" s="177" t="s">
        <v>185</v>
      </c>
      <c r="H16" s="178" t="s">
        <v>283</v>
      </c>
      <c r="L16" s="170" t="b">
        <v>1</v>
      </c>
      <c r="M16" s="170" t="b">
        <v>1</v>
      </c>
      <c r="N16" s="170" t="b">
        <v>1</v>
      </c>
    </row>
    <row r="17" spans="1:14" ht="18.75" thickTop="1" thickBot="1">
      <c r="A17" s="173" t="s">
        <v>138</v>
      </c>
      <c r="B17" s="174" t="s">
        <v>127</v>
      </c>
      <c r="C17" s="171" t="s">
        <v>61</v>
      </c>
      <c r="D17" s="175">
        <v>51</v>
      </c>
      <c r="E17" s="172" t="str">
        <f t="shared" si="0"/>
        <v>Senior/Benefits</v>
      </c>
      <c r="F17" s="176" t="s">
        <v>109</v>
      </c>
      <c r="G17" s="177" t="s">
        <v>186</v>
      </c>
      <c r="H17" s="178" t="s">
        <v>282</v>
      </c>
      <c r="L17" s="170" t="b">
        <v>1</v>
      </c>
      <c r="M17" s="170" t="b">
        <v>1</v>
      </c>
      <c r="N17" s="170" t="b">
        <v>1</v>
      </c>
    </row>
    <row r="18" spans="1:14" ht="18.75" thickTop="1" thickBot="1">
      <c r="A18" s="173" t="s">
        <v>139</v>
      </c>
      <c r="B18" s="174" t="s">
        <v>125</v>
      </c>
      <c r="C18" s="171" t="s">
        <v>62</v>
      </c>
      <c r="D18" s="172">
        <v>20</v>
      </c>
      <c r="E18" s="172" t="str">
        <f t="shared" si="0"/>
        <v>Adult</v>
      </c>
      <c r="F18" s="176" t="s">
        <v>110</v>
      </c>
      <c r="G18" s="177" t="s">
        <v>187</v>
      </c>
      <c r="H18" s="178" t="s">
        <v>282</v>
      </c>
      <c r="L18" s="170" t="b">
        <v>1</v>
      </c>
      <c r="M18" s="170" t="b">
        <v>1</v>
      </c>
      <c r="N18" s="170" t="b">
        <v>1</v>
      </c>
    </row>
    <row r="19" spans="1:14" ht="18.75" thickTop="1" thickBot="1">
      <c r="A19" s="173" t="s">
        <v>140</v>
      </c>
      <c r="B19" s="174" t="s">
        <v>123</v>
      </c>
      <c r="C19" s="171" t="s">
        <v>63</v>
      </c>
      <c r="D19" s="172">
        <v>91</v>
      </c>
      <c r="E19" s="172" t="str">
        <f t="shared" si="0"/>
        <v>Senior/Benefits</v>
      </c>
      <c r="F19" s="176" t="s">
        <v>111</v>
      </c>
      <c r="G19" s="177" t="s">
        <v>188</v>
      </c>
      <c r="H19" s="178" t="s">
        <v>283</v>
      </c>
      <c r="L19" s="170" t="b">
        <v>1</v>
      </c>
      <c r="M19" s="170" t="b">
        <v>1</v>
      </c>
      <c r="N19" s="170" t="b">
        <v>1</v>
      </c>
    </row>
    <row r="20" spans="1:14" ht="18.75" thickTop="1" thickBot="1">
      <c r="A20" s="173" t="s">
        <v>141</v>
      </c>
      <c r="B20" s="174" t="s">
        <v>125</v>
      </c>
      <c r="C20" s="171" t="s">
        <v>64</v>
      </c>
      <c r="D20" s="172">
        <v>22</v>
      </c>
      <c r="E20" s="172" t="str">
        <f t="shared" si="0"/>
        <v>Adult</v>
      </c>
      <c r="F20" s="176" t="s">
        <v>112</v>
      </c>
      <c r="G20" s="177" t="s">
        <v>189</v>
      </c>
      <c r="H20" s="178" t="s">
        <v>281</v>
      </c>
      <c r="L20" s="170" t="b">
        <v>1</v>
      </c>
      <c r="M20" s="170" t="b">
        <v>1</v>
      </c>
      <c r="N20" s="170" t="b">
        <v>1</v>
      </c>
    </row>
    <row r="21" spans="1:14" ht="18.75" thickTop="1" thickBot="1">
      <c r="A21" s="173" t="s">
        <v>142</v>
      </c>
      <c r="B21" s="174" t="s">
        <v>123</v>
      </c>
      <c r="C21" s="171" t="s">
        <v>65</v>
      </c>
      <c r="D21" s="172">
        <v>18</v>
      </c>
      <c r="E21" s="172" t="str">
        <f t="shared" si="0"/>
        <v>Student</v>
      </c>
      <c r="F21" s="176" t="s">
        <v>113</v>
      </c>
      <c r="G21" s="177" t="s">
        <v>190</v>
      </c>
      <c r="H21" s="178" t="s">
        <v>283</v>
      </c>
      <c r="L21" s="170" t="b">
        <v>1</v>
      </c>
      <c r="M21" s="170" t="b">
        <v>1</v>
      </c>
      <c r="N21" s="170" t="b">
        <v>1</v>
      </c>
    </row>
    <row r="22" spans="1:14" ht="18.75" thickTop="1" thickBot="1">
      <c r="A22" s="173" t="s">
        <v>143</v>
      </c>
      <c r="B22" s="174" t="s">
        <v>125</v>
      </c>
      <c r="C22" s="171" t="s">
        <v>66</v>
      </c>
      <c r="D22" s="172">
        <v>18</v>
      </c>
      <c r="E22" s="172" t="str">
        <f t="shared" si="0"/>
        <v>Student</v>
      </c>
      <c r="F22" s="176" t="s">
        <v>114</v>
      </c>
      <c r="G22" s="177" t="s">
        <v>191</v>
      </c>
      <c r="H22" s="178" t="s">
        <v>283</v>
      </c>
      <c r="L22" s="170" t="b">
        <v>1</v>
      </c>
      <c r="M22" s="170" t="b">
        <v>1</v>
      </c>
      <c r="N22" s="170" t="b">
        <v>1</v>
      </c>
    </row>
    <row r="23" spans="1:14" ht="18.75" thickTop="1" thickBot="1">
      <c r="A23" s="173" t="s">
        <v>147</v>
      </c>
      <c r="B23" s="174" t="s">
        <v>125</v>
      </c>
      <c r="C23" s="171" t="s">
        <v>67</v>
      </c>
      <c r="D23" s="172">
        <v>19</v>
      </c>
      <c r="E23" s="172" t="s">
        <v>212</v>
      </c>
      <c r="F23" s="176" t="s">
        <v>115</v>
      </c>
      <c r="G23" s="177" t="s">
        <v>192</v>
      </c>
      <c r="H23" s="178" t="s">
        <v>282</v>
      </c>
      <c r="L23" s="170" t="b">
        <v>1</v>
      </c>
      <c r="M23" s="170" t="b">
        <v>1</v>
      </c>
      <c r="N23" s="170" t="b">
        <v>1</v>
      </c>
    </row>
    <row r="24" spans="1:14" ht="18.75" thickTop="1" thickBot="1">
      <c r="A24" s="173" t="s">
        <v>148</v>
      </c>
      <c r="B24" s="174" t="s">
        <v>125</v>
      </c>
      <c r="C24" s="171" t="s">
        <v>68</v>
      </c>
      <c r="D24" s="172">
        <v>20</v>
      </c>
      <c r="E24" s="172" t="str">
        <f t="shared" si="0"/>
        <v>Adult</v>
      </c>
      <c r="F24" s="176" t="s">
        <v>116</v>
      </c>
      <c r="G24" s="177" t="s">
        <v>85</v>
      </c>
      <c r="H24" s="178" t="s">
        <v>282</v>
      </c>
    </row>
    <row r="25" spans="1:14" ht="18.75" thickTop="1" thickBot="1">
      <c r="A25" s="179" t="s">
        <v>151</v>
      </c>
      <c r="B25" s="171" t="s">
        <v>125</v>
      </c>
      <c r="C25" s="179" t="s">
        <v>159</v>
      </c>
      <c r="D25" s="177">
        <v>17</v>
      </c>
      <c r="E25" s="172" t="str">
        <f t="shared" si="0"/>
        <v>Student</v>
      </c>
      <c r="F25" s="179" t="s">
        <v>167</v>
      </c>
      <c r="G25" s="177" t="s">
        <v>193</v>
      </c>
      <c r="H25" s="178" t="s">
        <v>283</v>
      </c>
    </row>
    <row r="26" spans="1:14" ht="18.75" thickTop="1" thickBot="1">
      <c r="A26" s="179" t="s">
        <v>152</v>
      </c>
      <c r="B26" s="171" t="s">
        <v>126</v>
      </c>
      <c r="C26" s="179" t="s">
        <v>160</v>
      </c>
      <c r="D26" s="177">
        <v>16</v>
      </c>
      <c r="E26" s="172" t="s">
        <v>258</v>
      </c>
      <c r="F26" s="179" t="s">
        <v>168</v>
      </c>
      <c r="G26" s="177" t="s">
        <v>194</v>
      </c>
      <c r="H26" s="178" t="s">
        <v>282</v>
      </c>
    </row>
    <row r="27" spans="1:14" ht="18.75" thickTop="1" thickBot="1">
      <c r="A27" s="179" t="s">
        <v>153</v>
      </c>
      <c r="B27" s="171" t="s">
        <v>123</v>
      </c>
      <c r="C27" s="179" t="s">
        <v>161</v>
      </c>
      <c r="D27" s="177">
        <v>24</v>
      </c>
      <c r="E27" s="172" t="str">
        <f t="shared" si="0"/>
        <v>Adult</v>
      </c>
      <c r="F27" s="179" t="s">
        <v>169</v>
      </c>
      <c r="G27" s="177" t="s">
        <v>88</v>
      </c>
      <c r="H27" s="178" t="s">
        <v>283</v>
      </c>
    </row>
    <row r="28" spans="1:14" ht="18.75" thickTop="1" thickBot="1">
      <c r="A28" s="179" t="s">
        <v>154</v>
      </c>
      <c r="B28" s="171" t="s">
        <v>123</v>
      </c>
      <c r="C28" s="179" t="s">
        <v>162</v>
      </c>
      <c r="D28" s="177">
        <v>35</v>
      </c>
      <c r="E28" s="172" t="str">
        <f t="shared" si="0"/>
        <v>Adult</v>
      </c>
      <c r="F28" s="179" t="s">
        <v>170</v>
      </c>
      <c r="G28" s="177" t="s">
        <v>195</v>
      </c>
      <c r="H28" s="178" t="s">
        <v>282</v>
      </c>
    </row>
    <row r="29" spans="1:14" ht="18.75" thickTop="1" thickBot="1">
      <c r="A29" s="179" t="s">
        <v>155</v>
      </c>
      <c r="B29" s="171" t="s">
        <v>126</v>
      </c>
      <c r="C29" s="179" t="s">
        <v>163</v>
      </c>
      <c r="D29" s="177">
        <v>32</v>
      </c>
      <c r="E29" s="172" t="str">
        <f t="shared" si="0"/>
        <v>Adult</v>
      </c>
      <c r="F29" s="179" t="s">
        <v>171</v>
      </c>
      <c r="G29" s="177" t="s">
        <v>196</v>
      </c>
      <c r="H29" s="178" t="s">
        <v>283</v>
      </c>
    </row>
    <row r="30" spans="1:14" ht="18.75" thickTop="1" thickBot="1">
      <c r="A30" s="179" t="s">
        <v>156</v>
      </c>
      <c r="B30" s="171" t="s">
        <v>125</v>
      </c>
      <c r="C30" s="179" t="s">
        <v>164</v>
      </c>
      <c r="D30" s="177">
        <v>71</v>
      </c>
      <c r="E30" s="172" t="str">
        <f t="shared" si="0"/>
        <v>Senior/Benefits</v>
      </c>
      <c r="F30" s="179" t="s">
        <v>172</v>
      </c>
      <c r="G30" s="177" t="s">
        <v>197</v>
      </c>
      <c r="H30" s="178" t="s">
        <v>282</v>
      </c>
    </row>
    <row r="31" spans="1:14" ht="18.75" thickTop="1" thickBot="1">
      <c r="A31" s="179" t="s">
        <v>157</v>
      </c>
      <c r="B31" s="171" t="s">
        <v>123</v>
      </c>
      <c r="C31" s="179" t="s">
        <v>165</v>
      </c>
      <c r="D31" s="177">
        <v>81</v>
      </c>
      <c r="E31" s="172" t="str">
        <f t="shared" si="0"/>
        <v>Senior/Benefits</v>
      </c>
      <c r="F31" s="179" t="s">
        <v>173</v>
      </c>
      <c r="G31" s="177" t="s">
        <v>198</v>
      </c>
      <c r="H31" s="178" t="s">
        <v>281</v>
      </c>
    </row>
    <row r="32" spans="1:14" ht="18.75" thickTop="1" thickBot="1">
      <c r="A32" s="179" t="s">
        <v>158</v>
      </c>
      <c r="B32" s="171" t="s">
        <v>125</v>
      </c>
      <c r="C32" s="179" t="s">
        <v>166</v>
      </c>
      <c r="D32" s="177">
        <v>24</v>
      </c>
      <c r="E32" s="172" t="str">
        <f t="shared" si="0"/>
        <v>Adult</v>
      </c>
      <c r="F32" s="179" t="s">
        <v>174</v>
      </c>
      <c r="G32" s="177" t="s">
        <v>149</v>
      </c>
      <c r="H32" s="178" t="s">
        <v>283</v>
      </c>
    </row>
    <row r="33" spans="1:11" ht="16.5" thickTop="1">
      <c r="A33" s="35"/>
      <c r="B33" s="36"/>
      <c r="C33" s="37"/>
      <c r="D33" s="38"/>
      <c r="E33" s="28"/>
      <c r="F33" s="39"/>
      <c r="G33" s="40"/>
      <c r="H33" s="28"/>
    </row>
    <row r="34" spans="1:11" ht="15.75">
      <c r="A34" s="35"/>
      <c r="B34" s="36"/>
      <c r="C34" s="37"/>
      <c r="D34" s="38"/>
      <c r="E34" s="28"/>
      <c r="F34" s="39"/>
      <c r="G34" s="40"/>
      <c r="H34" s="28"/>
    </row>
    <row r="35" spans="1:11" ht="15.75">
      <c r="A35" s="35"/>
      <c r="B35" s="36"/>
      <c r="C35" s="37"/>
      <c r="D35" s="38"/>
      <c r="E35" s="28"/>
      <c r="F35" s="39"/>
      <c r="G35" s="40"/>
      <c r="H35" s="28"/>
    </row>
    <row r="36" spans="1:11" ht="15.75">
      <c r="A36" s="35"/>
      <c r="B36" s="36"/>
      <c r="C36" s="37"/>
      <c r="D36" s="38"/>
      <c r="E36" s="28"/>
      <c r="F36" s="39"/>
      <c r="G36" s="40"/>
      <c r="H36" s="28"/>
    </row>
    <row r="37" spans="1:11" ht="15.75">
      <c r="A37" s="35"/>
      <c r="B37" s="36"/>
      <c r="C37" s="37"/>
      <c r="D37" s="38"/>
      <c r="E37" s="28"/>
      <c r="F37" s="39"/>
      <c r="G37" s="40"/>
      <c r="H37" s="28"/>
    </row>
    <row r="38" spans="1:11" ht="15.75">
      <c r="A38" s="35"/>
      <c r="B38" s="36"/>
      <c r="C38" s="37"/>
      <c r="D38" s="38"/>
      <c r="E38" s="28"/>
      <c r="F38" s="39"/>
      <c r="G38" s="40"/>
      <c r="H38" s="28"/>
    </row>
    <row r="39" spans="1:11" ht="15.75">
      <c r="A39" s="35"/>
      <c r="B39" s="36"/>
      <c r="C39" s="37"/>
      <c r="D39" s="38"/>
      <c r="E39" s="28"/>
      <c r="F39" s="39"/>
      <c r="G39" s="40"/>
      <c r="H39" s="28"/>
    </row>
    <row r="40" spans="1:11" ht="15.75">
      <c r="A40" s="35"/>
      <c r="B40" s="36"/>
      <c r="C40" s="37"/>
      <c r="D40" s="38"/>
      <c r="E40" s="28"/>
      <c r="F40" s="39"/>
      <c r="G40" s="40"/>
      <c r="H40" s="28"/>
    </row>
    <row r="41" spans="1:11" ht="15.75">
      <c r="A41" s="35"/>
      <c r="B41" s="36"/>
      <c r="C41" s="37"/>
      <c r="D41" s="82" t="s">
        <v>263</v>
      </c>
      <c r="E41" s="83" t="s">
        <v>264</v>
      </c>
      <c r="F41" s="82" t="s">
        <v>120</v>
      </c>
      <c r="G41" s="82" t="s">
        <v>117</v>
      </c>
      <c r="H41" s="83" t="s">
        <v>265</v>
      </c>
      <c r="I41" s="84" t="s">
        <v>266</v>
      </c>
      <c r="J41" s="84" t="s">
        <v>119</v>
      </c>
      <c r="K41" s="84" t="s">
        <v>118</v>
      </c>
    </row>
    <row r="42" spans="1:11" ht="15.75">
      <c r="A42" s="35"/>
      <c r="B42" s="36"/>
      <c r="C42" s="37"/>
      <c r="D42" s="75">
        <v>20</v>
      </c>
      <c r="E42" s="75">
        <v>20</v>
      </c>
      <c r="F42" s="75">
        <v>20</v>
      </c>
      <c r="G42" s="75">
        <v>20</v>
      </c>
      <c r="H42" s="75">
        <v>20</v>
      </c>
      <c r="I42" s="75">
        <v>20</v>
      </c>
      <c r="J42" s="75">
        <v>20</v>
      </c>
      <c r="K42" s="75">
        <v>20</v>
      </c>
    </row>
    <row r="43" spans="1:11" ht="15.75">
      <c r="A43" s="35"/>
      <c r="B43" s="36"/>
      <c r="C43" s="37"/>
      <c r="D43" s="75">
        <v>7.4</v>
      </c>
      <c r="E43" s="75">
        <v>7.4</v>
      </c>
      <c r="F43" s="75">
        <v>7.4</v>
      </c>
      <c r="G43" s="75">
        <v>7.4</v>
      </c>
      <c r="H43" s="75">
        <v>7.4</v>
      </c>
      <c r="I43" s="75">
        <v>7.4</v>
      </c>
      <c r="J43" s="75">
        <v>7.4</v>
      </c>
      <c r="K43" s="75">
        <v>7.4</v>
      </c>
    </row>
    <row r="44" spans="1:11" ht="15.75">
      <c r="A44" s="35"/>
      <c r="B44" s="36"/>
      <c r="C44" s="37"/>
      <c r="D44" s="75">
        <v>20</v>
      </c>
      <c r="E44" s="75">
        <v>20</v>
      </c>
      <c r="F44" s="75">
        <v>20</v>
      </c>
      <c r="G44" s="75">
        <v>20</v>
      </c>
      <c r="H44" s="75">
        <v>20</v>
      </c>
      <c r="I44" s="75">
        <v>20</v>
      </c>
      <c r="J44" s="75">
        <v>20</v>
      </c>
      <c r="K44" s="75">
        <v>20</v>
      </c>
    </row>
    <row r="45" spans="1:11" ht="15.75">
      <c r="A45" s="76" t="s">
        <v>269</v>
      </c>
      <c r="B45" s="36"/>
      <c r="C45" s="37"/>
      <c r="D45" s="75">
        <v>11</v>
      </c>
      <c r="E45" s="75">
        <v>11</v>
      </c>
      <c r="F45" s="75">
        <v>11</v>
      </c>
      <c r="G45" s="75">
        <v>11</v>
      </c>
      <c r="H45" s="75">
        <v>11</v>
      </c>
      <c r="I45" s="75">
        <v>11</v>
      </c>
      <c r="J45" s="75">
        <v>11</v>
      </c>
      <c r="K45" s="75">
        <v>11</v>
      </c>
    </row>
    <row r="46" spans="1:11" ht="15.75">
      <c r="A46" s="35"/>
      <c r="B46" s="36"/>
      <c r="C46" s="37"/>
      <c r="D46" s="75">
        <v>20</v>
      </c>
      <c r="E46" s="75">
        <v>20</v>
      </c>
      <c r="F46" s="75">
        <v>20</v>
      </c>
      <c r="G46" s="75">
        <v>20</v>
      </c>
      <c r="H46" s="75">
        <v>20</v>
      </c>
      <c r="I46" s="75">
        <v>20</v>
      </c>
      <c r="J46" s="75">
        <v>20</v>
      </c>
      <c r="K46" s="75">
        <v>20</v>
      </c>
    </row>
    <row r="47" spans="1:11" ht="15.75">
      <c r="A47" s="77" t="s">
        <v>267</v>
      </c>
      <c r="B47" s="78">
        <v>20</v>
      </c>
      <c r="C47" s="37"/>
      <c r="D47" s="75">
        <v>7.4</v>
      </c>
      <c r="E47" s="75">
        <v>7.4</v>
      </c>
      <c r="F47" s="75">
        <v>7.4</v>
      </c>
      <c r="G47" s="75">
        <v>7.4</v>
      </c>
      <c r="H47" s="75">
        <v>7.4</v>
      </c>
      <c r="I47" s="75">
        <v>7.4</v>
      </c>
      <c r="J47" s="75">
        <v>7.4</v>
      </c>
      <c r="K47" s="75">
        <v>7.4</v>
      </c>
    </row>
    <row r="48" spans="1:11" ht="15.75">
      <c r="A48" s="77" t="s">
        <v>268</v>
      </c>
      <c r="B48" s="78">
        <v>14.5</v>
      </c>
      <c r="C48" s="37"/>
      <c r="D48" s="75">
        <v>14.5</v>
      </c>
      <c r="E48" s="75">
        <v>14.5</v>
      </c>
      <c r="F48" s="75">
        <v>14.5</v>
      </c>
      <c r="G48" s="75">
        <v>14.5</v>
      </c>
      <c r="H48" s="75">
        <v>14.5</v>
      </c>
      <c r="I48" s="75">
        <v>14.5</v>
      </c>
      <c r="J48" s="75">
        <v>14.5</v>
      </c>
      <c r="K48" s="75">
        <v>14.5</v>
      </c>
    </row>
    <row r="49" spans="1:11" ht="15.75">
      <c r="A49" s="77" t="s">
        <v>215</v>
      </c>
      <c r="B49" s="78">
        <v>11</v>
      </c>
      <c r="C49" s="37"/>
      <c r="D49" s="75">
        <v>14.5</v>
      </c>
      <c r="E49" s="75">
        <v>14.5</v>
      </c>
      <c r="F49" s="75">
        <v>14.5</v>
      </c>
      <c r="G49" s="75">
        <v>14.5</v>
      </c>
      <c r="H49" s="75">
        <v>14.5</v>
      </c>
      <c r="I49" s="75">
        <v>14.5</v>
      </c>
      <c r="J49" s="75">
        <v>14.5</v>
      </c>
      <c r="K49" s="75">
        <v>14.5</v>
      </c>
    </row>
    <row r="50" spans="1:11" ht="15.75">
      <c r="A50" s="77" t="s">
        <v>213</v>
      </c>
      <c r="B50" s="78">
        <v>7.4</v>
      </c>
      <c r="C50" s="37"/>
      <c r="D50" s="75">
        <v>20</v>
      </c>
      <c r="E50" s="75">
        <v>20</v>
      </c>
      <c r="F50" s="75">
        <v>20</v>
      </c>
      <c r="G50" s="75">
        <v>20</v>
      </c>
      <c r="H50" s="75">
        <v>20</v>
      </c>
      <c r="I50" s="75">
        <v>20</v>
      </c>
      <c r="J50" s="75">
        <v>20</v>
      </c>
      <c r="K50" s="75">
        <v>20</v>
      </c>
    </row>
    <row r="51" spans="1:11" ht="15.75">
      <c r="A51" s="35"/>
      <c r="B51" s="36"/>
      <c r="C51" s="37"/>
      <c r="D51" s="75">
        <v>20</v>
      </c>
      <c r="E51" s="75">
        <v>20</v>
      </c>
      <c r="F51" s="75">
        <v>20</v>
      </c>
      <c r="G51" s="75">
        <v>20</v>
      </c>
      <c r="H51" s="75">
        <v>20</v>
      </c>
      <c r="I51" s="75">
        <v>20</v>
      </c>
      <c r="J51" s="75">
        <v>20</v>
      </c>
      <c r="K51" s="75">
        <v>20</v>
      </c>
    </row>
    <row r="52" spans="1:11" ht="15.75">
      <c r="A52" s="35"/>
      <c r="B52" s="36"/>
      <c r="C52" s="37"/>
      <c r="D52" s="75">
        <v>11</v>
      </c>
      <c r="E52" s="75">
        <v>11</v>
      </c>
      <c r="F52" s="75">
        <v>11</v>
      </c>
      <c r="G52" s="75">
        <v>11</v>
      </c>
      <c r="H52" s="75">
        <v>11</v>
      </c>
      <c r="I52" s="75">
        <v>11</v>
      </c>
      <c r="J52" s="75">
        <v>11</v>
      </c>
      <c r="K52" s="75">
        <v>11</v>
      </c>
    </row>
    <row r="53" spans="1:11" ht="15.75">
      <c r="A53" s="35"/>
      <c r="B53" s="36"/>
      <c r="C53" s="37"/>
      <c r="D53" s="75">
        <v>20</v>
      </c>
      <c r="E53" s="75">
        <v>20</v>
      </c>
      <c r="F53" s="75">
        <v>20</v>
      </c>
      <c r="G53" s="75">
        <v>20</v>
      </c>
      <c r="H53" s="75">
        <v>20</v>
      </c>
      <c r="I53" s="75">
        <v>20</v>
      </c>
      <c r="J53" s="75">
        <v>20</v>
      </c>
      <c r="K53" s="75">
        <v>20</v>
      </c>
    </row>
    <row r="54" spans="1:11" ht="15.75">
      <c r="A54" s="35"/>
      <c r="B54" s="36"/>
      <c r="C54" s="37"/>
      <c r="D54" s="75">
        <v>20</v>
      </c>
      <c r="E54" s="75">
        <v>20</v>
      </c>
      <c r="F54" s="75">
        <v>20</v>
      </c>
      <c r="G54" s="75">
        <v>20</v>
      </c>
      <c r="H54" s="75">
        <v>20</v>
      </c>
      <c r="I54" s="75">
        <v>20</v>
      </c>
      <c r="J54" s="75">
        <v>20</v>
      </c>
      <c r="K54" s="75">
        <v>20</v>
      </c>
    </row>
    <row r="55" spans="1:11" ht="15.75">
      <c r="A55" s="35"/>
      <c r="B55" s="36"/>
      <c r="C55" s="37"/>
      <c r="D55" s="75">
        <v>20</v>
      </c>
      <c r="E55" s="75">
        <v>20</v>
      </c>
      <c r="F55" s="75">
        <v>20</v>
      </c>
      <c r="G55" s="75">
        <v>20</v>
      </c>
      <c r="H55" s="75">
        <v>20</v>
      </c>
      <c r="I55" s="75">
        <v>20</v>
      </c>
      <c r="J55" s="75">
        <v>20</v>
      </c>
      <c r="K55" s="75">
        <v>20</v>
      </c>
    </row>
    <row r="56" spans="1:11" ht="15.75">
      <c r="A56" s="35"/>
      <c r="B56" s="36"/>
      <c r="C56" s="37"/>
      <c r="D56" s="75">
        <v>20</v>
      </c>
      <c r="E56" s="75">
        <v>20</v>
      </c>
      <c r="F56" s="75">
        <v>20</v>
      </c>
      <c r="G56" s="75">
        <v>20</v>
      </c>
      <c r="H56" s="75">
        <v>20</v>
      </c>
      <c r="I56" s="75">
        <v>20</v>
      </c>
      <c r="J56" s="75">
        <v>20</v>
      </c>
      <c r="K56" s="75">
        <v>20</v>
      </c>
    </row>
    <row r="57" spans="1:11" ht="15.75">
      <c r="A57" s="35"/>
      <c r="B57" s="36"/>
      <c r="C57" s="37"/>
      <c r="D57" s="75">
        <v>11</v>
      </c>
      <c r="E57" s="75">
        <v>11</v>
      </c>
      <c r="F57" s="75">
        <v>11</v>
      </c>
      <c r="G57" s="75">
        <v>11</v>
      </c>
      <c r="H57" s="75">
        <v>11</v>
      </c>
      <c r="I57" s="75">
        <v>11</v>
      </c>
      <c r="J57" s="75">
        <v>11</v>
      </c>
      <c r="K57" s="75">
        <v>11</v>
      </c>
    </row>
    <row r="58" spans="1:11" ht="15.75">
      <c r="A58" s="35"/>
      <c r="B58" s="36"/>
      <c r="C58" s="37"/>
      <c r="D58" s="75">
        <v>20</v>
      </c>
      <c r="E58" s="75">
        <v>20</v>
      </c>
      <c r="F58" s="75">
        <v>20</v>
      </c>
      <c r="G58" s="75">
        <v>20</v>
      </c>
      <c r="H58" s="75">
        <v>20</v>
      </c>
      <c r="I58" s="75">
        <v>20</v>
      </c>
      <c r="J58" s="75">
        <v>20</v>
      </c>
      <c r="K58" s="75">
        <v>20</v>
      </c>
    </row>
    <row r="59" spans="1:11" ht="15.75">
      <c r="A59" s="35"/>
      <c r="B59" s="36"/>
      <c r="C59" s="37"/>
      <c r="D59" s="75">
        <v>11</v>
      </c>
      <c r="E59" s="75">
        <v>11</v>
      </c>
      <c r="F59" s="75">
        <v>11</v>
      </c>
      <c r="G59" s="75">
        <v>11</v>
      </c>
      <c r="H59" s="75">
        <v>11</v>
      </c>
      <c r="I59" s="75">
        <v>11</v>
      </c>
      <c r="J59" s="75">
        <v>11</v>
      </c>
      <c r="K59" s="75">
        <v>11</v>
      </c>
    </row>
    <row r="60" spans="1:11" ht="15.75">
      <c r="A60" s="35"/>
      <c r="B60" s="36"/>
      <c r="C60" s="37"/>
      <c r="D60" s="75">
        <v>20</v>
      </c>
      <c r="E60" s="75">
        <v>20</v>
      </c>
      <c r="F60" s="75">
        <v>20</v>
      </c>
      <c r="G60" s="75">
        <v>20</v>
      </c>
      <c r="H60" s="75">
        <v>20</v>
      </c>
      <c r="I60" s="75">
        <v>20</v>
      </c>
      <c r="J60" s="75">
        <v>20</v>
      </c>
      <c r="K60" s="75">
        <v>20</v>
      </c>
    </row>
    <row r="61" spans="1:11" ht="15.75">
      <c r="A61" s="35"/>
      <c r="B61" s="36"/>
      <c r="C61" s="37"/>
      <c r="D61" s="75">
        <v>14.5</v>
      </c>
      <c r="E61" s="75">
        <v>14.5</v>
      </c>
      <c r="F61" s="75">
        <v>14.5</v>
      </c>
      <c r="G61" s="75">
        <v>14.5</v>
      </c>
      <c r="H61" s="75">
        <v>14.5</v>
      </c>
      <c r="I61" s="75">
        <v>14.5</v>
      </c>
      <c r="J61" s="75">
        <v>14.5</v>
      </c>
      <c r="K61" s="75">
        <v>14.5</v>
      </c>
    </row>
    <row r="62" spans="1:11" ht="15.75">
      <c r="A62" s="35"/>
      <c r="B62" s="36"/>
      <c r="C62" s="37"/>
      <c r="D62" s="75">
        <v>14.5</v>
      </c>
      <c r="E62" s="75">
        <v>14.5</v>
      </c>
      <c r="F62" s="75">
        <v>14.5</v>
      </c>
      <c r="G62" s="75">
        <v>14.5</v>
      </c>
      <c r="H62" s="75">
        <v>14.5</v>
      </c>
      <c r="I62" s="75">
        <v>14.5</v>
      </c>
      <c r="J62" s="75">
        <v>14.5</v>
      </c>
      <c r="K62" s="75">
        <v>14.5</v>
      </c>
    </row>
    <row r="63" spans="1:11" ht="15.75">
      <c r="A63" s="35"/>
      <c r="B63" s="36"/>
      <c r="C63" s="37"/>
      <c r="D63" s="75">
        <v>20</v>
      </c>
      <c r="E63" s="75">
        <v>20</v>
      </c>
      <c r="F63" s="75">
        <v>20</v>
      </c>
      <c r="G63" s="75">
        <v>20</v>
      </c>
      <c r="H63" s="75">
        <v>20</v>
      </c>
      <c r="I63" s="75">
        <v>20</v>
      </c>
      <c r="J63" s="75">
        <v>20</v>
      </c>
      <c r="K63" s="75">
        <v>20</v>
      </c>
    </row>
    <row r="64" spans="1:11" ht="15.75">
      <c r="A64" s="35"/>
      <c r="B64" s="36"/>
      <c r="C64" s="37"/>
      <c r="D64" s="75">
        <v>20</v>
      </c>
      <c r="E64" s="75">
        <v>20</v>
      </c>
      <c r="F64" s="75">
        <v>20</v>
      </c>
      <c r="G64" s="75">
        <v>20</v>
      </c>
      <c r="H64" s="75">
        <v>20</v>
      </c>
      <c r="I64" s="75">
        <v>20</v>
      </c>
      <c r="J64" s="75">
        <v>20</v>
      </c>
      <c r="K64" s="75">
        <v>20</v>
      </c>
    </row>
    <row r="65" spans="1:11" ht="15.75">
      <c r="A65" s="35"/>
      <c r="B65" s="36"/>
      <c r="C65" s="37"/>
      <c r="D65" s="75">
        <v>14.5</v>
      </c>
      <c r="E65" s="75">
        <v>14.5</v>
      </c>
      <c r="F65" s="75">
        <v>14.5</v>
      </c>
      <c r="G65" s="75">
        <v>14.5</v>
      </c>
      <c r="H65" s="75">
        <v>14.5</v>
      </c>
      <c r="I65" s="75">
        <v>14.5</v>
      </c>
      <c r="J65" s="75">
        <v>14.5</v>
      </c>
      <c r="K65" s="75">
        <v>14.5</v>
      </c>
    </row>
    <row r="66" spans="1:11" ht="15.75">
      <c r="A66" s="35"/>
      <c r="B66" s="36"/>
      <c r="C66" s="37"/>
      <c r="D66" s="75">
        <v>14.5</v>
      </c>
      <c r="E66" s="75">
        <v>14.5</v>
      </c>
      <c r="F66" s="75">
        <v>14.5</v>
      </c>
      <c r="G66" s="75">
        <v>14.5</v>
      </c>
      <c r="H66" s="75">
        <v>14.5</v>
      </c>
      <c r="I66" s="75">
        <v>14.5</v>
      </c>
      <c r="J66" s="75">
        <v>14.5</v>
      </c>
      <c r="K66" s="75">
        <v>14.5</v>
      </c>
    </row>
    <row r="67" spans="1:11" ht="15.75">
      <c r="A67" s="35"/>
      <c r="B67" s="36"/>
      <c r="C67" s="37"/>
      <c r="D67" s="75">
        <v>20</v>
      </c>
      <c r="E67" s="75">
        <v>20</v>
      </c>
      <c r="F67" s="75">
        <v>20</v>
      </c>
      <c r="G67" s="75">
        <v>20</v>
      </c>
      <c r="H67" s="75">
        <v>20</v>
      </c>
      <c r="I67" s="75">
        <v>20</v>
      </c>
      <c r="J67" s="75">
        <v>20</v>
      </c>
      <c r="K67" s="75">
        <v>20</v>
      </c>
    </row>
    <row r="68" spans="1:11" ht="15.75">
      <c r="A68" s="35"/>
      <c r="B68" s="36"/>
      <c r="C68" s="37"/>
      <c r="D68" s="75">
        <v>20</v>
      </c>
      <c r="E68" s="75">
        <v>20</v>
      </c>
      <c r="F68" s="75">
        <v>20</v>
      </c>
      <c r="G68" s="75">
        <v>20</v>
      </c>
      <c r="H68" s="75">
        <v>20</v>
      </c>
      <c r="I68" s="75">
        <v>20</v>
      </c>
      <c r="J68" s="75">
        <v>20</v>
      </c>
      <c r="K68" s="75">
        <v>20</v>
      </c>
    </row>
    <row r="69" spans="1:11" ht="15.75">
      <c r="A69" s="35"/>
      <c r="B69" s="36"/>
      <c r="C69" s="37"/>
      <c r="D69" s="75">
        <v>20</v>
      </c>
      <c r="E69" s="75">
        <v>20</v>
      </c>
      <c r="F69" s="75">
        <v>20</v>
      </c>
      <c r="G69" s="75">
        <v>20</v>
      </c>
      <c r="H69" s="75">
        <v>20</v>
      </c>
      <c r="I69" s="75">
        <v>20</v>
      </c>
      <c r="J69" s="75">
        <v>20</v>
      </c>
      <c r="K69" s="75">
        <v>20</v>
      </c>
    </row>
    <row r="70" spans="1:11" ht="15.75">
      <c r="A70" s="35"/>
      <c r="B70" s="36"/>
      <c r="C70" s="37"/>
      <c r="D70" s="75">
        <v>11</v>
      </c>
      <c r="E70" s="75">
        <v>11</v>
      </c>
      <c r="F70" s="75">
        <v>11</v>
      </c>
      <c r="G70" s="75">
        <v>11</v>
      </c>
      <c r="H70" s="75">
        <v>11</v>
      </c>
      <c r="I70" s="75">
        <v>11</v>
      </c>
      <c r="J70" s="75">
        <v>11</v>
      </c>
      <c r="K70" s="75">
        <v>11</v>
      </c>
    </row>
    <row r="71" spans="1:11" ht="15.75">
      <c r="A71" s="35"/>
      <c r="B71" s="36"/>
      <c r="C71" s="37"/>
      <c r="D71" s="75">
        <v>11</v>
      </c>
      <c r="E71" s="75">
        <v>11</v>
      </c>
      <c r="F71" s="75">
        <v>11</v>
      </c>
      <c r="G71" s="75">
        <v>11</v>
      </c>
      <c r="H71" s="75">
        <v>11</v>
      </c>
      <c r="I71" s="75">
        <v>11</v>
      </c>
      <c r="J71" s="75">
        <v>11</v>
      </c>
      <c r="K71" s="75">
        <v>11</v>
      </c>
    </row>
    <row r="72" spans="1:11" ht="15.75">
      <c r="A72" s="35"/>
      <c r="B72" s="36"/>
      <c r="C72" s="37"/>
      <c r="D72" s="75">
        <v>20</v>
      </c>
      <c r="E72" s="75">
        <v>20</v>
      </c>
      <c r="F72" s="75">
        <v>20</v>
      </c>
      <c r="G72" s="75">
        <v>20</v>
      </c>
      <c r="H72" s="75">
        <v>20</v>
      </c>
      <c r="I72" s="75">
        <v>20</v>
      </c>
      <c r="J72" s="75">
        <v>20</v>
      </c>
      <c r="K72" s="75">
        <v>20</v>
      </c>
    </row>
    <row r="73" spans="1:11" ht="15.75">
      <c r="A73" s="35"/>
      <c r="B73" s="36"/>
      <c r="C73" s="37"/>
      <c r="D73" s="38"/>
      <c r="E73" s="28"/>
      <c r="F73" s="39"/>
      <c r="G73" s="40"/>
      <c r="H73" s="28"/>
    </row>
    <row r="74" spans="1:11" ht="15.75">
      <c r="A74" s="35"/>
      <c r="B74" s="36"/>
      <c r="C74" s="37"/>
      <c r="D74" s="38"/>
      <c r="E74" s="28"/>
      <c r="F74" s="39"/>
      <c r="G74" s="40"/>
      <c r="H74" s="28"/>
    </row>
    <row r="75" spans="1:11" ht="15.75">
      <c r="A75" s="35"/>
      <c r="B75" s="36"/>
      <c r="C75" s="37"/>
      <c r="D75" s="38"/>
      <c r="E75" s="28"/>
      <c r="F75" s="39"/>
      <c r="G75" s="40"/>
      <c r="H75" s="28"/>
    </row>
    <row r="76" spans="1:11" ht="15.75">
      <c r="A76" s="35"/>
      <c r="B76" s="36"/>
      <c r="C76" s="37"/>
      <c r="D76" s="38"/>
      <c r="E76" s="28"/>
      <c r="F76" s="39"/>
      <c r="G76" s="40"/>
      <c r="H76" s="28"/>
    </row>
    <row r="77" spans="1:11" ht="15.75">
      <c r="A77" s="35"/>
      <c r="B77" s="36"/>
      <c r="C77" s="37"/>
      <c r="D77" s="38"/>
      <c r="E77" s="28"/>
      <c r="F77" s="39"/>
      <c r="G77" s="40"/>
      <c r="H77" s="28"/>
    </row>
    <row r="78" spans="1:11" ht="15.75">
      <c r="A78" s="35"/>
      <c r="B78" s="36"/>
      <c r="C78" s="37"/>
      <c r="D78" s="82" t="s">
        <v>263</v>
      </c>
      <c r="E78" s="83" t="s">
        <v>264</v>
      </c>
      <c r="F78" s="82" t="s">
        <v>120</v>
      </c>
      <c r="G78" s="82" t="s">
        <v>117</v>
      </c>
      <c r="H78" s="83" t="s">
        <v>265</v>
      </c>
      <c r="I78" s="84" t="s">
        <v>266</v>
      </c>
      <c r="J78" s="84" t="s">
        <v>119</v>
      </c>
      <c r="K78" s="84" t="s">
        <v>118</v>
      </c>
    </row>
    <row r="79" spans="1:11" ht="15.75">
      <c r="A79" s="76" t="s">
        <v>270</v>
      </c>
      <c r="B79" s="36"/>
      <c r="C79" s="37"/>
      <c r="D79" s="38"/>
      <c r="E79" s="28"/>
      <c r="F79" s="39"/>
      <c r="G79" s="40"/>
      <c r="H79" s="28"/>
    </row>
    <row r="80" spans="1:11" ht="15.75">
      <c r="A80" s="35"/>
      <c r="B80" s="36"/>
      <c r="C80" s="37"/>
      <c r="D80" s="38"/>
      <c r="E80" s="28"/>
      <c r="F80" s="39"/>
      <c r="G80" s="40"/>
      <c r="H80" s="28"/>
    </row>
    <row r="81" spans="1:11" ht="15.75">
      <c r="A81" s="77" t="s">
        <v>267</v>
      </c>
      <c r="B81" s="80">
        <v>15</v>
      </c>
      <c r="C81" s="37"/>
      <c r="D81" s="75">
        <v>15</v>
      </c>
      <c r="E81" s="75">
        <v>15</v>
      </c>
      <c r="F81" s="75">
        <v>15</v>
      </c>
      <c r="G81" s="75">
        <v>15</v>
      </c>
      <c r="H81" s="75">
        <v>15</v>
      </c>
      <c r="I81" s="75">
        <v>15</v>
      </c>
      <c r="J81" s="75">
        <v>15</v>
      </c>
      <c r="K81" s="75">
        <v>15</v>
      </c>
    </row>
    <row r="82" spans="1:11" ht="15.75">
      <c r="A82" s="77" t="s">
        <v>268</v>
      </c>
      <c r="B82" s="80">
        <v>10</v>
      </c>
      <c r="C82" s="37"/>
      <c r="D82" s="75">
        <v>5</v>
      </c>
      <c r="E82" s="75">
        <v>5</v>
      </c>
      <c r="F82" s="75">
        <v>5</v>
      </c>
      <c r="G82" s="75">
        <v>5</v>
      </c>
      <c r="H82" s="75">
        <v>5</v>
      </c>
      <c r="I82" s="75">
        <v>5</v>
      </c>
      <c r="J82" s="75">
        <v>5</v>
      </c>
      <c r="K82" s="75">
        <v>5</v>
      </c>
    </row>
    <row r="83" spans="1:11" ht="15.75">
      <c r="A83" s="77" t="s">
        <v>271</v>
      </c>
      <c r="B83" s="81">
        <v>7.5</v>
      </c>
      <c r="C83" s="37"/>
      <c r="D83" s="75">
        <v>15</v>
      </c>
      <c r="E83" s="75">
        <v>15</v>
      </c>
      <c r="F83" s="75">
        <v>15</v>
      </c>
      <c r="G83" s="75">
        <v>15</v>
      </c>
      <c r="H83" s="75">
        <v>15</v>
      </c>
      <c r="I83" s="75">
        <v>15</v>
      </c>
      <c r="J83" s="75">
        <v>15</v>
      </c>
      <c r="K83" s="75">
        <v>15</v>
      </c>
    </row>
    <row r="84" spans="1:11" ht="15.75">
      <c r="A84" s="77" t="s">
        <v>213</v>
      </c>
      <c r="B84" s="80">
        <v>5</v>
      </c>
      <c r="C84" s="37"/>
      <c r="D84" s="75">
        <v>7.5</v>
      </c>
      <c r="E84" s="75">
        <v>7.5</v>
      </c>
      <c r="F84" s="75">
        <v>7.5</v>
      </c>
      <c r="G84" s="75">
        <v>7.5</v>
      </c>
      <c r="H84" s="75">
        <v>7.5</v>
      </c>
      <c r="I84" s="75">
        <v>7.5</v>
      </c>
      <c r="J84" s="75">
        <v>7.5</v>
      </c>
      <c r="K84" s="75">
        <v>7.5</v>
      </c>
    </row>
    <row r="85" spans="1:11" ht="15.75">
      <c r="A85" s="35"/>
      <c r="B85" s="36"/>
      <c r="C85" s="37"/>
      <c r="D85" s="75">
        <v>15</v>
      </c>
      <c r="E85" s="75">
        <v>15</v>
      </c>
      <c r="F85" s="75">
        <v>15</v>
      </c>
      <c r="G85" s="75">
        <v>15</v>
      </c>
      <c r="H85" s="75">
        <v>15</v>
      </c>
      <c r="I85" s="75">
        <v>15</v>
      </c>
      <c r="J85" s="75">
        <v>15</v>
      </c>
      <c r="K85" s="75">
        <v>15</v>
      </c>
    </row>
    <row r="86" spans="1:11" ht="15.75">
      <c r="A86" s="35"/>
      <c r="B86" s="36"/>
      <c r="C86" s="37"/>
      <c r="D86" s="75">
        <v>5</v>
      </c>
      <c r="E86" s="75">
        <v>5</v>
      </c>
      <c r="F86" s="75">
        <v>5</v>
      </c>
      <c r="G86" s="75">
        <v>5</v>
      </c>
      <c r="H86" s="75">
        <v>5</v>
      </c>
      <c r="I86" s="75">
        <v>5</v>
      </c>
      <c r="J86" s="75">
        <v>5</v>
      </c>
      <c r="K86" s="75">
        <v>5</v>
      </c>
    </row>
    <row r="87" spans="1:11" ht="15.75">
      <c r="A87" s="35"/>
      <c r="B87" s="36"/>
      <c r="C87" s="37"/>
      <c r="D87" s="75">
        <v>10</v>
      </c>
      <c r="E87" s="75">
        <v>10</v>
      </c>
      <c r="F87" s="75">
        <v>10</v>
      </c>
      <c r="G87" s="75">
        <v>10</v>
      </c>
      <c r="H87" s="75">
        <v>10</v>
      </c>
      <c r="I87" s="75">
        <v>10</v>
      </c>
      <c r="J87" s="75">
        <v>10</v>
      </c>
      <c r="K87" s="75">
        <v>10</v>
      </c>
    </row>
    <row r="88" spans="1:11" ht="15.75">
      <c r="A88" s="35"/>
      <c r="B88" s="36"/>
      <c r="C88" s="37"/>
      <c r="D88" s="75">
        <v>10</v>
      </c>
      <c r="E88" s="75">
        <v>10</v>
      </c>
      <c r="F88" s="75">
        <v>10</v>
      </c>
      <c r="G88" s="75">
        <v>10</v>
      </c>
      <c r="H88" s="75">
        <v>10</v>
      </c>
      <c r="I88" s="75">
        <v>10</v>
      </c>
      <c r="J88" s="75">
        <v>10</v>
      </c>
      <c r="K88" s="75">
        <v>10</v>
      </c>
    </row>
    <row r="89" spans="1:11" ht="15.75">
      <c r="A89" s="35"/>
      <c r="B89" s="36"/>
      <c r="C89" s="37"/>
      <c r="D89" s="75">
        <v>15</v>
      </c>
      <c r="E89" s="75">
        <v>15</v>
      </c>
      <c r="F89" s="75">
        <v>15</v>
      </c>
      <c r="G89" s="75">
        <v>15</v>
      </c>
      <c r="H89" s="75">
        <v>15</v>
      </c>
      <c r="I89" s="75">
        <v>15</v>
      </c>
      <c r="J89" s="75">
        <v>15</v>
      </c>
      <c r="K89" s="75">
        <v>15</v>
      </c>
    </row>
    <row r="90" spans="1:11" ht="15.75">
      <c r="A90" s="35"/>
      <c r="B90" s="36"/>
      <c r="C90" s="37"/>
      <c r="D90" s="75">
        <v>15</v>
      </c>
      <c r="E90" s="75">
        <v>15</v>
      </c>
      <c r="F90" s="75">
        <v>15</v>
      </c>
      <c r="G90" s="75">
        <v>15</v>
      </c>
      <c r="H90" s="75">
        <v>15</v>
      </c>
      <c r="I90" s="75">
        <v>15</v>
      </c>
      <c r="J90" s="75">
        <v>15</v>
      </c>
      <c r="K90" s="75">
        <v>15</v>
      </c>
    </row>
    <row r="91" spans="1:11" ht="15.75">
      <c r="A91" s="35"/>
      <c r="B91" s="36"/>
      <c r="C91" s="37"/>
      <c r="D91" s="75">
        <v>7.5</v>
      </c>
      <c r="E91" s="75">
        <v>7.5</v>
      </c>
      <c r="F91" s="75">
        <v>7.5</v>
      </c>
      <c r="G91" s="75">
        <v>7.5</v>
      </c>
      <c r="H91" s="75">
        <v>7.5</v>
      </c>
      <c r="I91" s="75">
        <v>7.5</v>
      </c>
      <c r="J91" s="75">
        <v>7.5</v>
      </c>
      <c r="K91" s="75">
        <v>7.5</v>
      </c>
    </row>
    <row r="92" spans="1:11" ht="15.75">
      <c r="A92" s="35"/>
      <c r="B92" s="36"/>
      <c r="C92" s="37"/>
      <c r="D92" s="75">
        <v>15</v>
      </c>
      <c r="E92" s="75">
        <v>15</v>
      </c>
      <c r="F92" s="75">
        <v>15</v>
      </c>
      <c r="G92" s="75">
        <v>15</v>
      </c>
      <c r="H92" s="75">
        <v>15</v>
      </c>
      <c r="I92" s="75">
        <v>15</v>
      </c>
      <c r="J92" s="75">
        <v>15</v>
      </c>
      <c r="K92" s="75">
        <v>15</v>
      </c>
    </row>
    <row r="93" spans="1:11" ht="15.75">
      <c r="A93" s="35"/>
      <c r="B93" s="36"/>
      <c r="C93" s="37"/>
      <c r="D93" s="75">
        <v>15</v>
      </c>
      <c r="E93" s="75">
        <v>15</v>
      </c>
      <c r="F93" s="75">
        <v>15</v>
      </c>
      <c r="G93" s="75">
        <v>15</v>
      </c>
      <c r="H93" s="75">
        <v>15</v>
      </c>
      <c r="I93" s="75">
        <v>15</v>
      </c>
      <c r="J93" s="75">
        <v>15</v>
      </c>
      <c r="K93" s="75">
        <v>15</v>
      </c>
    </row>
    <row r="94" spans="1:11" ht="15.75">
      <c r="A94" s="35"/>
      <c r="B94" s="36"/>
      <c r="C94" s="37"/>
      <c r="D94" s="75">
        <v>15</v>
      </c>
      <c r="E94" s="75">
        <v>15</v>
      </c>
      <c r="F94" s="75">
        <v>15</v>
      </c>
      <c r="G94" s="75">
        <v>15</v>
      </c>
      <c r="H94" s="75">
        <v>15</v>
      </c>
      <c r="I94" s="75">
        <v>15</v>
      </c>
      <c r="J94" s="75">
        <v>15</v>
      </c>
      <c r="K94" s="75">
        <v>15</v>
      </c>
    </row>
    <row r="95" spans="1:11" ht="15.75">
      <c r="A95" s="35"/>
      <c r="B95" s="36"/>
      <c r="C95" s="37"/>
      <c r="D95" s="75">
        <v>15</v>
      </c>
      <c r="E95" s="75">
        <v>15</v>
      </c>
      <c r="F95" s="75">
        <v>15</v>
      </c>
      <c r="G95" s="75">
        <v>15</v>
      </c>
      <c r="H95" s="75">
        <v>15</v>
      </c>
      <c r="I95" s="75">
        <v>15</v>
      </c>
      <c r="J95" s="75">
        <v>15</v>
      </c>
      <c r="K95" s="75">
        <v>15</v>
      </c>
    </row>
    <row r="96" spans="1:11" ht="15.75">
      <c r="A96" s="35"/>
      <c r="B96" s="36"/>
      <c r="C96" s="37"/>
      <c r="D96" s="75">
        <v>7.5</v>
      </c>
      <c r="E96" s="75">
        <v>7.5</v>
      </c>
      <c r="F96" s="75">
        <v>7.5</v>
      </c>
      <c r="G96" s="75">
        <v>7.5</v>
      </c>
      <c r="H96" s="75">
        <v>7.5</v>
      </c>
      <c r="I96" s="75">
        <v>7.5</v>
      </c>
      <c r="J96" s="75">
        <v>7.5</v>
      </c>
      <c r="K96" s="75">
        <v>7.5</v>
      </c>
    </row>
    <row r="97" spans="1:11" ht="15.75">
      <c r="A97" s="35"/>
      <c r="B97" s="36"/>
      <c r="C97" s="37"/>
      <c r="D97" s="75">
        <v>15</v>
      </c>
      <c r="E97" s="75">
        <v>15</v>
      </c>
      <c r="F97" s="75">
        <v>15</v>
      </c>
      <c r="G97" s="75">
        <v>15</v>
      </c>
      <c r="H97" s="75">
        <v>15</v>
      </c>
      <c r="I97" s="75">
        <v>15</v>
      </c>
      <c r="J97" s="75">
        <v>15</v>
      </c>
      <c r="K97" s="75">
        <v>15</v>
      </c>
    </row>
    <row r="98" spans="1:11" ht="15.75">
      <c r="A98" s="35"/>
      <c r="B98" s="36"/>
      <c r="C98" s="37"/>
      <c r="D98" s="75">
        <v>7.5</v>
      </c>
      <c r="E98" s="75">
        <v>7.5</v>
      </c>
      <c r="F98" s="75">
        <v>7.5</v>
      </c>
      <c r="G98" s="75">
        <v>7.5</v>
      </c>
      <c r="H98" s="75">
        <v>7.5</v>
      </c>
      <c r="I98" s="75">
        <v>7.5</v>
      </c>
      <c r="J98" s="75">
        <v>7.5</v>
      </c>
      <c r="K98" s="75">
        <v>7.5</v>
      </c>
    </row>
    <row r="99" spans="1:11" ht="15.75">
      <c r="A99" s="35"/>
      <c r="B99" s="36"/>
      <c r="C99" s="37"/>
      <c r="D99" s="75">
        <v>15</v>
      </c>
      <c r="E99" s="75">
        <v>15</v>
      </c>
      <c r="F99" s="75">
        <v>15</v>
      </c>
      <c r="G99" s="75">
        <v>15</v>
      </c>
      <c r="H99" s="75">
        <v>15</v>
      </c>
      <c r="I99" s="75">
        <v>15</v>
      </c>
      <c r="J99" s="75">
        <v>15</v>
      </c>
      <c r="K99" s="75">
        <v>15</v>
      </c>
    </row>
    <row r="100" spans="1:11" ht="15.75">
      <c r="A100" s="35"/>
      <c r="B100" s="36"/>
      <c r="C100" s="37"/>
      <c r="D100" s="75">
        <v>10</v>
      </c>
      <c r="E100" s="75">
        <v>10</v>
      </c>
      <c r="F100" s="75">
        <v>10</v>
      </c>
      <c r="G100" s="75">
        <v>10</v>
      </c>
      <c r="H100" s="75">
        <v>10</v>
      </c>
      <c r="I100" s="75">
        <v>10</v>
      </c>
      <c r="J100" s="75">
        <v>10</v>
      </c>
      <c r="K100" s="75">
        <v>10</v>
      </c>
    </row>
    <row r="101" spans="1:11" ht="15.75">
      <c r="A101" s="35"/>
      <c r="B101" s="36"/>
      <c r="C101" s="37"/>
      <c r="D101" s="75">
        <v>10</v>
      </c>
      <c r="E101" s="75">
        <v>10</v>
      </c>
      <c r="F101" s="75">
        <v>10</v>
      </c>
      <c r="G101" s="75">
        <v>10</v>
      </c>
      <c r="H101" s="75">
        <v>10</v>
      </c>
      <c r="I101" s="75">
        <v>10</v>
      </c>
      <c r="J101" s="75">
        <v>10</v>
      </c>
      <c r="K101" s="75">
        <v>10</v>
      </c>
    </row>
    <row r="102" spans="1:11" ht="15.75">
      <c r="A102" s="35"/>
      <c r="B102" s="36"/>
      <c r="C102" s="37"/>
      <c r="D102" s="75">
        <v>15</v>
      </c>
      <c r="E102" s="75">
        <v>15</v>
      </c>
      <c r="F102" s="75">
        <v>15</v>
      </c>
      <c r="G102" s="75">
        <v>15</v>
      </c>
      <c r="H102" s="75">
        <v>15</v>
      </c>
      <c r="I102" s="75">
        <v>15</v>
      </c>
      <c r="J102" s="75">
        <v>15</v>
      </c>
      <c r="K102" s="75">
        <v>15</v>
      </c>
    </row>
    <row r="103" spans="1:11" ht="15.75">
      <c r="A103" s="35"/>
      <c r="B103" s="36"/>
      <c r="C103" s="37"/>
      <c r="D103" s="75">
        <v>15</v>
      </c>
      <c r="E103" s="75">
        <v>15</v>
      </c>
      <c r="F103" s="75">
        <v>15</v>
      </c>
      <c r="G103" s="75">
        <v>15</v>
      </c>
      <c r="H103" s="75">
        <v>15</v>
      </c>
      <c r="I103" s="75">
        <v>15</v>
      </c>
      <c r="J103" s="75">
        <v>15</v>
      </c>
      <c r="K103" s="75">
        <v>15</v>
      </c>
    </row>
    <row r="104" spans="1:11" ht="15.75">
      <c r="A104" s="35"/>
      <c r="B104" s="36"/>
      <c r="C104" s="37"/>
      <c r="D104" s="75">
        <v>10</v>
      </c>
      <c r="E104" s="75">
        <v>10</v>
      </c>
      <c r="F104" s="75">
        <v>10</v>
      </c>
      <c r="G104" s="75">
        <v>10</v>
      </c>
      <c r="H104" s="75">
        <v>10</v>
      </c>
      <c r="I104" s="75">
        <v>10</v>
      </c>
      <c r="J104" s="75">
        <v>10</v>
      </c>
      <c r="K104" s="75">
        <v>10</v>
      </c>
    </row>
    <row r="105" spans="1:11" ht="15.75">
      <c r="A105" s="35"/>
      <c r="B105" s="36"/>
      <c r="C105" s="37"/>
      <c r="D105" s="75">
        <v>10</v>
      </c>
      <c r="E105" s="75">
        <v>10</v>
      </c>
      <c r="F105" s="75">
        <v>10</v>
      </c>
      <c r="G105" s="75">
        <v>10</v>
      </c>
      <c r="H105" s="75">
        <v>10</v>
      </c>
      <c r="I105" s="75">
        <v>10</v>
      </c>
      <c r="J105" s="75">
        <v>10</v>
      </c>
      <c r="K105" s="75">
        <v>10</v>
      </c>
    </row>
    <row r="106" spans="1:11" ht="15.75">
      <c r="A106" s="35"/>
      <c r="B106" s="36"/>
      <c r="C106" s="37"/>
      <c r="D106" s="75">
        <v>15</v>
      </c>
      <c r="E106" s="75">
        <v>15</v>
      </c>
      <c r="F106" s="75">
        <v>15</v>
      </c>
      <c r="G106" s="75">
        <v>15</v>
      </c>
      <c r="H106" s="75">
        <v>15</v>
      </c>
      <c r="I106" s="75">
        <v>15</v>
      </c>
      <c r="J106" s="75">
        <v>15</v>
      </c>
      <c r="K106" s="75">
        <v>15</v>
      </c>
    </row>
    <row r="107" spans="1:11" ht="15.75">
      <c r="A107" s="35"/>
      <c r="B107" s="36"/>
      <c r="C107" s="37"/>
      <c r="D107" s="75">
        <v>15</v>
      </c>
      <c r="E107" s="75">
        <v>15</v>
      </c>
      <c r="F107" s="75">
        <v>15</v>
      </c>
      <c r="G107" s="75">
        <v>15</v>
      </c>
      <c r="H107" s="75">
        <v>15</v>
      </c>
      <c r="I107" s="75">
        <v>15</v>
      </c>
      <c r="J107" s="75">
        <v>15</v>
      </c>
      <c r="K107" s="75">
        <v>15</v>
      </c>
    </row>
    <row r="108" spans="1:11" ht="15.75">
      <c r="A108" s="35"/>
      <c r="B108" s="36"/>
      <c r="C108" s="37"/>
      <c r="D108" s="75">
        <v>15</v>
      </c>
      <c r="E108" s="75">
        <v>15</v>
      </c>
      <c r="F108" s="75">
        <v>15</v>
      </c>
      <c r="G108" s="75">
        <v>15</v>
      </c>
      <c r="H108" s="75">
        <v>15</v>
      </c>
      <c r="I108" s="75">
        <v>15</v>
      </c>
      <c r="J108" s="75">
        <v>15</v>
      </c>
      <c r="K108" s="75">
        <v>15</v>
      </c>
    </row>
    <row r="109" spans="1:11" ht="15.75">
      <c r="A109" s="35"/>
      <c r="B109" s="36"/>
      <c r="C109" s="37"/>
      <c r="D109" s="75">
        <v>7.5</v>
      </c>
      <c r="E109" s="75">
        <v>7.5</v>
      </c>
      <c r="F109" s="75">
        <v>7.5</v>
      </c>
      <c r="G109" s="75">
        <v>7.5</v>
      </c>
      <c r="H109" s="75">
        <v>7.5</v>
      </c>
      <c r="I109" s="75">
        <v>7.5</v>
      </c>
      <c r="J109" s="75">
        <v>7.5</v>
      </c>
      <c r="K109" s="75">
        <v>7.5</v>
      </c>
    </row>
    <row r="110" spans="1:11" ht="15.75">
      <c r="A110" s="35"/>
      <c r="B110" s="36"/>
      <c r="C110" s="37"/>
      <c r="D110" s="75">
        <v>7.5</v>
      </c>
      <c r="E110" s="75">
        <v>7.5</v>
      </c>
      <c r="F110" s="75">
        <v>7.5</v>
      </c>
      <c r="G110" s="75">
        <v>7.5</v>
      </c>
      <c r="H110" s="75">
        <v>7.5</v>
      </c>
      <c r="I110" s="75">
        <v>7.5</v>
      </c>
      <c r="J110" s="75">
        <v>7.5</v>
      </c>
      <c r="K110" s="75">
        <v>7.5</v>
      </c>
    </row>
    <row r="111" spans="1:11" ht="15.75">
      <c r="A111" s="35"/>
      <c r="B111" s="36"/>
      <c r="C111" s="37"/>
      <c r="D111" s="75">
        <v>15</v>
      </c>
      <c r="E111" s="75">
        <v>15</v>
      </c>
      <c r="F111" s="75">
        <v>15</v>
      </c>
      <c r="G111" s="75">
        <v>15</v>
      </c>
      <c r="H111" s="75">
        <v>15</v>
      </c>
      <c r="I111" s="75">
        <v>15</v>
      </c>
      <c r="J111" s="75">
        <v>15</v>
      </c>
      <c r="K111" s="75">
        <v>15</v>
      </c>
    </row>
    <row r="112" spans="1:11" ht="15.75">
      <c r="A112" s="35"/>
      <c r="B112" s="36"/>
      <c r="C112" s="37"/>
      <c r="D112" s="38"/>
      <c r="E112" s="28"/>
      <c r="F112" s="39"/>
      <c r="G112" s="40"/>
      <c r="H112" s="28"/>
    </row>
    <row r="113" spans="1:8" ht="15.75">
      <c r="A113" s="35"/>
      <c r="B113" s="36"/>
      <c r="C113" s="37"/>
      <c r="D113" s="38"/>
      <c r="E113" s="28"/>
      <c r="F113" s="39"/>
      <c r="G113" s="40"/>
      <c r="H113" s="28"/>
    </row>
    <row r="114" spans="1:8" ht="15.75">
      <c r="A114" s="35"/>
      <c r="B114" s="36"/>
      <c r="C114" s="37"/>
      <c r="D114" s="38"/>
      <c r="E114" s="28"/>
      <c r="F114" s="39"/>
      <c r="G114" s="40"/>
      <c r="H114" s="28"/>
    </row>
    <row r="115" spans="1:8" ht="15.75">
      <c r="A115" s="35"/>
      <c r="B115" s="36"/>
      <c r="C115" s="37"/>
      <c r="D115" s="38"/>
      <c r="E115" s="28"/>
      <c r="F115" s="39"/>
      <c r="G115" s="40"/>
      <c r="H115" s="28"/>
    </row>
    <row r="116" spans="1:8" ht="15.75">
      <c r="A116" s="35"/>
      <c r="B116" s="36"/>
      <c r="C116" s="37"/>
      <c r="D116" s="38"/>
      <c r="E116" s="28"/>
      <c r="F116" s="39"/>
      <c r="G116" s="40"/>
      <c r="H116" s="28"/>
    </row>
    <row r="117" spans="1:8" ht="15.75">
      <c r="A117" s="35"/>
      <c r="B117" s="36"/>
      <c r="C117" s="37"/>
      <c r="D117" s="38"/>
      <c r="E117" s="28"/>
      <c r="F117" s="39"/>
      <c r="G117" s="40"/>
      <c r="H117" s="28"/>
    </row>
    <row r="118" spans="1:8" ht="15.75">
      <c r="A118" s="35"/>
      <c r="B118" s="36"/>
      <c r="C118" s="37"/>
      <c r="D118" s="38"/>
      <c r="E118" s="28"/>
      <c r="F118" s="39"/>
      <c r="G118" s="40"/>
      <c r="H118" s="28"/>
    </row>
    <row r="119" spans="1:8" ht="15.75">
      <c r="A119" s="35"/>
      <c r="B119" s="36"/>
      <c r="C119" s="37"/>
      <c r="D119" s="38"/>
      <c r="E119" s="28"/>
      <c r="F119" s="39"/>
      <c r="G119" s="40"/>
      <c r="H119" s="28"/>
    </row>
    <row r="120" spans="1:8" ht="15.75">
      <c r="A120" s="35"/>
      <c r="B120" s="36"/>
      <c r="C120" s="37"/>
      <c r="D120" s="38"/>
      <c r="E120" s="28"/>
      <c r="F120" s="39"/>
      <c r="G120" s="40"/>
      <c r="H120" s="28"/>
    </row>
    <row r="121" spans="1:8" ht="15.75">
      <c r="A121" s="35"/>
      <c r="B121" s="36"/>
      <c r="C121" s="37"/>
      <c r="D121" s="38"/>
      <c r="E121" s="28"/>
      <c r="F121" s="39"/>
      <c r="G121" s="40"/>
      <c r="H121" s="28"/>
    </row>
    <row r="122" spans="1:8" ht="15.75">
      <c r="A122" s="35"/>
      <c r="B122" s="36"/>
      <c r="C122" s="37"/>
      <c r="D122" s="38"/>
      <c r="E122" s="28"/>
      <c r="F122" s="39"/>
      <c r="G122" s="40"/>
      <c r="H122" s="28"/>
    </row>
    <row r="123" spans="1:8" ht="15.75">
      <c r="A123" s="35"/>
      <c r="B123" s="36"/>
      <c r="C123" s="37"/>
      <c r="D123" s="38"/>
      <c r="E123" s="28"/>
      <c r="F123" s="39"/>
      <c r="G123" s="40"/>
      <c r="H123" s="28"/>
    </row>
    <row r="124" spans="1:8" ht="15.75">
      <c r="A124" s="35"/>
      <c r="B124" s="36"/>
      <c r="C124" s="37"/>
      <c r="D124" s="38"/>
      <c r="E124" s="28"/>
      <c r="F124" s="39"/>
      <c r="G124" s="40"/>
      <c r="H124" s="28"/>
    </row>
    <row r="125" spans="1:8" ht="15.75">
      <c r="A125" s="35"/>
      <c r="B125" s="36"/>
      <c r="C125" s="37"/>
      <c r="D125" s="38"/>
      <c r="E125" s="28"/>
      <c r="F125" s="39"/>
      <c r="G125" s="40"/>
      <c r="H125" s="28"/>
    </row>
    <row r="126" spans="1:8" ht="15.75">
      <c r="A126" s="35"/>
      <c r="B126" s="36"/>
      <c r="C126" s="37"/>
      <c r="D126" s="38"/>
      <c r="E126" s="28"/>
      <c r="F126" s="39"/>
      <c r="G126" s="40"/>
      <c r="H126" s="28"/>
    </row>
    <row r="127" spans="1:8" ht="15.75">
      <c r="A127" s="35"/>
      <c r="B127" s="36"/>
      <c r="C127" s="37"/>
      <c r="D127" s="38"/>
      <c r="E127" s="28"/>
      <c r="F127" s="39"/>
      <c r="G127" s="40"/>
      <c r="H127" s="28"/>
    </row>
    <row r="128" spans="1:8" ht="15.75">
      <c r="A128" s="35"/>
      <c r="B128" s="36"/>
      <c r="C128" s="37"/>
      <c r="D128" s="38"/>
      <c r="E128" s="28"/>
      <c r="F128" s="39"/>
      <c r="G128" s="40"/>
      <c r="H128" s="28"/>
    </row>
    <row r="129" spans="1:8" ht="15.75">
      <c r="A129" s="35"/>
      <c r="B129" s="36"/>
      <c r="C129" s="37"/>
      <c r="D129" s="38"/>
      <c r="E129" s="28"/>
      <c r="F129" s="39"/>
      <c r="G129" s="40"/>
      <c r="H129" s="28"/>
    </row>
    <row r="130" spans="1:8" ht="15.75">
      <c r="A130" s="35"/>
      <c r="B130" s="36"/>
      <c r="C130" s="37"/>
      <c r="D130" s="38"/>
      <c r="E130" s="28"/>
      <c r="F130" s="39"/>
      <c r="G130" s="40"/>
      <c r="H130" s="28"/>
    </row>
    <row r="131" spans="1:8" ht="15.75">
      <c r="A131" s="35"/>
      <c r="B131" s="36"/>
      <c r="C131" s="37"/>
      <c r="D131" s="38"/>
      <c r="E131" s="28"/>
      <c r="F131" s="39"/>
      <c r="G131" s="40"/>
      <c r="H131" s="28"/>
    </row>
    <row r="132" spans="1:8" ht="15.75">
      <c r="A132" s="35"/>
      <c r="B132" s="36"/>
      <c r="C132" s="37"/>
      <c r="D132" s="38"/>
      <c r="E132" s="28"/>
      <c r="F132" s="39"/>
      <c r="G132" s="40"/>
      <c r="H132" s="28"/>
    </row>
    <row r="133" spans="1:8" ht="15.75">
      <c r="A133" s="35"/>
      <c r="B133" s="36"/>
      <c r="C133" s="37"/>
      <c r="D133" s="38"/>
      <c r="E133" s="28"/>
      <c r="F133" s="39"/>
      <c r="G133" s="40"/>
      <c r="H133" s="28"/>
    </row>
    <row r="134" spans="1:8" ht="15.75">
      <c r="A134" s="35"/>
      <c r="B134" s="36"/>
      <c r="C134" s="37"/>
      <c r="D134" s="38"/>
      <c r="E134" s="28"/>
      <c r="F134" s="39"/>
      <c r="G134" s="40"/>
      <c r="H134" s="28"/>
    </row>
    <row r="135" spans="1:8" ht="15.75">
      <c r="A135" s="35"/>
      <c r="B135" s="36"/>
      <c r="C135" s="37"/>
      <c r="D135" s="38"/>
      <c r="E135" s="28"/>
      <c r="F135" s="39"/>
      <c r="G135" s="40"/>
      <c r="H135" s="28"/>
    </row>
    <row r="136" spans="1:8" ht="15.75">
      <c r="A136" s="35"/>
      <c r="B136" s="36"/>
      <c r="C136" s="37"/>
      <c r="D136" s="38"/>
      <c r="E136" s="28"/>
      <c r="F136" s="39"/>
      <c r="G136" s="40"/>
      <c r="H136" s="28"/>
    </row>
    <row r="137" spans="1:8" ht="15.75">
      <c r="A137" s="35"/>
      <c r="B137" s="36"/>
      <c r="C137" s="37"/>
      <c r="D137" s="38"/>
      <c r="E137" s="28"/>
      <c r="F137" s="39"/>
      <c r="G137" s="40"/>
      <c r="H137" s="28"/>
    </row>
    <row r="138" spans="1:8" ht="15.75">
      <c r="A138" s="35"/>
      <c r="B138" s="36"/>
      <c r="C138" s="37"/>
      <c r="D138" s="38"/>
      <c r="E138" s="28"/>
      <c r="F138" s="39"/>
      <c r="G138" s="40"/>
      <c r="H138" s="28"/>
    </row>
    <row r="139" spans="1:8" ht="15.75">
      <c r="A139" s="35"/>
      <c r="B139" s="36"/>
      <c r="C139" s="37"/>
      <c r="D139" s="38"/>
      <c r="E139" s="28"/>
      <c r="F139" s="39"/>
      <c r="G139" s="40"/>
      <c r="H139" s="28"/>
    </row>
    <row r="140" spans="1:8" ht="15.75">
      <c r="A140" s="35"/>
      <c r="B140" s="36"/>
      <c r="C140" s="37"/>
      <c r="D140" s="38"/>
      <c r="E140" s="28"/>
      <c r="F140" s="39"/>
      <c r="G140" s="40"/>
      <c r="H140" s="28"/>
    </row>
    <row r="141" spans="1:8" ht="15.75">
      <c r="A141" s="35"/>
      <c r="B141" s="36"/>
      <c r="C141" s="37"/>
      <c r="D141" s="38"/>
      <c r="E141" s="28"/>
      <c r="F141" s="39"/>
      <c r="G141" s="40"/>
      <c r="H141" s="28"/>
    </row>
    <row r="142" spans="1:8" ht="15.75">
      <c r="A142" s="35"/>
      <c r="B142" s="36"/>
      <c r="C142" s="37"/>
      <c r="D142" s="38"/>
      <c r="E142" s="28"/>
      <c r="F142" s="39"/>
      <c r="G142" s="40"/>
      <c r="H142" s="28"/>
    </row>
    <row r="143" spans="1:8" ht="15.75">
      <c r="A143" s="35"/>
      <c r="B143" s="36"/>
      <c r="C143" s="37"/>
      <c r="D143" s="38"/>
      <c r="E143" s="28"/>
      <c r="F143" s="39"/>
      <c r="G143" s="40"/>
      <c r="H143" s="28"/>
    </row>
    <row r="144" spans="1:8" ht="15.75">
      <c r="A144" s="35"/>
      <c r="B144" s="36"/>
      <c r="C144" s="37"/>
      <c r="D144" s="38"/>
      <c r="E144" s="28"/>
      <c r="F144" s="39"/>
      <c r="G144" s="40"/>
      <c r="H144" s="28"/>
    </row>
    <row r="145" spans="1:8" ht="15.75">
      <c r="A145" s="35"/>
      <c r="B145" s="36"/>
      <c r="C145" s="37"/>
      <c r="D145" s="38"/>
      <c r="E145" s="28"/>
      <c r="F145" s="39"/>
      <c r="G145" s="40"/>
      <c r="H145" s="28"/>
    </row>
    <row r="146" spans="1:8" ht="15.75">
      <c r="A146" s="35"/>
      <c r="B146" s="36"/>
      <c r="C146" s="37"/>
      <c r="D146" s="38"/>
      <c r="E146" s="28"/>
      <c r="F146" s="39"/>
      <c r="G146" s="40"/>
      <c r="H146" s="28"/>
    </row>
    <row r="147" spans="1:8" ht="15.75">
      <c r="A147" s="35"/>
      <c r="B147" s="36"/>
      <c r="C147" s="37"/>
      <c r="D147" s="38"/>
      <c r="E147" s="28"/>
      <c r="F147" s="39"/>
      <c r="G147" s="40"/>
      <c r="H147" s="28"/>
    </row>
    <row r="148" spans="1:8" ht="15.75">
      <c r="A148" s="35"/>
      <c r="B148" s="36"/>
      <c r="C148" s="37"/>
      <c r="D148" s="38"/>
      <c r="E148" s="28"/>
      <c r="F148" s="39"/>
      <c r="G148" s="40"/>
      <c r="H148" s="28"/>
    </row>
    <row r="149" spans="1:8" ht="15.75">
      <c r="A149" s="35"/>
      <c r="B149" s="36"/>
      <c r="C149" s="37"/>
      <c r="D149" s="38"/>
      <c r="E149" s="28"/>
      <c r="F149" s="39"/>
      <c r="G149" s="40"/>
      <c r="H149" s="28"/>
    </row>
    <row r="150" spans="1:8" ht="15.75">
      <c r="A150" s="35"/>
      <c r="B150" s="36"/>
      <c r="C150" s="37"/>
      <c r="D150" s="38"/>
      <c r="E150" s="28"/>
      <c r="F150" s="39"/>
      <c r="G150" s="40"/>
      <c r="H150" s="28"/>
    </row>
    <row r="151" spans="1:8" ht="15.75">
      <c r="A151" s="35"/>
      <c r="B151" s="36"/>
      <c r="C151" s="37"/>
      <c r="D151" s="38"/>
      <c r="E151" s="28"/>
      <c r="F151" s="39"/>
      <c r="G151" s="40"/>
      <c r="H151" s="28"/>
    </row>
    <row r="152" spans="1:8" ht="15.75">
      <c r="A152" s="35"/>
      <c r="B152" s="36"/>
      <c r="C152" s="37"/>
      <c r="D152" s="38"/>
      <c r="E152" s="28"/>
      <c r="F152" s="39"/>
      <c r="G152" s="40"/>
      <c r="H152" s="28"/>
    </row>
    <row r="153" spans="1:8" ht="15.75">
      <c r="A153" s="35"/>
      <c r="B153" s="36"/>
      <c r="C153" s="37"/>
      <c r="D153" s="38"/>
      <c r="E153" s="28"/>
      <c r="F153" s="39"/>
      <c r="G153" s="40"/>
      <c r="H153" s="28"/>
    </row>
    <row r="154" spans="1:8" ht="15.75">
      <c r="A154" s="35"/>
      <c r="B154" s="36"/>
      <c r="C154" s="37"/>
      <c r="D154" s="38"/>
      <c r="E154" s="28"/>
      <c r="F154" s="39"/>
      <c r="G154" s="40"/>
      <c r="H154" s="28"/>
    </row>
    <row r="155" spans="1:8" ht="15.75">
      <c r="A155" s="35"/>
      <c r="B155" s="36"/>
      <c r="C155" s="37"/>
      <c r="D155" s="38"/>
      <c r="E155" s="28"/>
      <c r="F155" s="39"/>
      <c r="G155" s="40"/>
      <c r="H155" s="28"/>
    </row>
    <row r="156" spans="1:8" ht="15.75">
      <c r="A156" s="35"/>
      <c r="B156" s="36"/>
      <c r="C156" s="37"/>
      <c r="D156" s="38"/>
      <c r="E156" s="28"/>
      <c r="F156" s="39"/>
      <c r="G156" s="40"/>
      <c r="H156" s="28"/>
    </row>
    <row r="157" spans="1:8" ht="15.75">
      <c r="A157" s="35"/>
      <c r="B157" s="36"/>
      <c r="C157" s="37"/>
      <c r="D157" s="38"/>
      <c r="E157" s="28"/>
      <c r="F157" s="39"/>
      <c r="G157" s="40"/>
      <c r="H157" s="28"/>
    </row>
    <row r="158" spans="1:8" ht="15.75">
      <c r="A158" s="35"/>
      <c r="B158" s="36"/>
      <c r="C158" s="37"/>
      <c r="D158" s="38"/>
      <c r="E158" s="28"/>
      <c r="F158" s="39"/>
      <c r="G158" s="40"/>
      <c r="H158" s="28"/>
    </row>
    <row r="159" spans="1:8" ht="15.75">
      <c r="A159" s="35"/>
      <c r="B159" s="36"/>
      <c r="C159" s="37"/>
      <c r="D159" s="38"/>
      <c r="E159" s="28"/>
      <c r="F159" s="39"/>
      <c r="G159" s="40"/>
      <c r="H159" s="28"/>
    </row>
    <row r="160" spans="1:8" ht="15.75">
      <c r="A160" s="35"/>
      <c r="B160" s="36"/>
      <c r="C160" s="37"/>
      <c r="D160" s="38"/>
      <c r="E160" s="28"/>
      <c r="F160" s="39"/>
      <c r="G160" s="40"/>
      <c r="H160" s="28"/>
    </row>
    <row r="161" spans="1:8" ht="15.75">
      <c r="A161" s="35"/>
      <c r="B161" s="36"/>
      <c r="C161" s="37"/>
      <c r="D161" s="38"/>
      <c r="E161" s="28"/>
      <c r="F161" s="39"/>
      <c r="G161" s="40"/>
      <c r="H161" s="28"/>
    </row>
    <row r="162" spans="1:8" ht="15.75">
      <c r="A162" s="35"/>
      <c r="B162" s="36"/>
      <c r="C162" s="37"/>
      <c r="D162" s="38"/>
      <c r="E162" s="28"/>
      <c r="F162" s="39"/>
      <c r="G162" s="40"/>
      <c r="H162" s="28"/>
    </row>
    <row r="163" spans="1:8" ht="15.75">
      <c r="A163" s="35"/>
      <c r="B163" s="36"/>
      <c r="C163" s="37"/>
      <c r="D163" s="38"/>
      <c r="E163" s="28"/>
      <c r="F163" s="39"/>
      <c r="G163" s="40"/>
      <c r="H163" s="28"/>
    </row>
    <row r="164" spans="1:8" ht="15.75">
      <c r="A164" s="35"/>
      <c r="B164" s="36"/>
      <c r="C164" s="37"/>
      <c r="D164" s="38"/>
      <c r="E164" s="28"/>
      <c r="F164" s="39"/>
      <c r="G164" s="40"/>
      <c r="H164" s="28"/>
    </row>
    <row r="165" spans="1:8" ht="15.75">
      <c r="A165" s="35"/>
      <c r="B165" s="36"/>
      <c r="C165" s="37"/>
      <c r="D165" s="38"/>
      <c r="E165" s="28"/>
      <c r="F165" s="39"/>
      <c r="G165" s="40"/>
      <c r="H165" s="28"/>
    </row>
    <row r="166" spans="1:8" ht="15.75">
      <c r="A166" s="35"/>
      <c r="B166" s="36"/>
      <c r="C166" s="37"/>
      <c r="D166" s="38"/>
      <c r="E166" s="28"/>
      <c r="F166" s="39"/>
      <c r="G166" s="40"/>
      <c r="H166" s="28"/>
    </row>
    <row r="167" spans="1:8" ht="15.75">
      <c r="A167" s="35"/>
      <c r="B167" s="36"/>
      <c r="C167" s="37"/>
      <c r="D167" s="38"/>
      <c r="E167" s="28"/>
      <c r="F167" s="39"/>
      <c r="G167" s="40"/>
      <c r="H167" s="28"/>
    </row>
    <row r="168" spans="1:8" ht="15.75">
      <c r="A168" s="35"/>
      <c r="B168" s="36"/>
      <c r="C168" s="37"/>
      <c r="D168" s="38"/>
      <c r="E168" s="28"/>
      <c r="F168" s="39"/>
      <c r="G168" s="40"/>
      <c r="H168" s="28"/>
    </row>
    <row r="169" spans="1:8" ht="15.75">
      <c r="A169" s="35"/>
      <c r="B169" s="36"/>
      <c r="C169" s="37"/>
      <c r="D169" s="38"/>
      <c r="E169" s="28"/>
      <c r="F169" s="39"/>
      <c r="G169" s="40"/>
      <c r="H169" s="28"/>
    </row>
    <row r="170" spans="1:8" ht="15.75">
      <c r="A170" s="35"/>
      <c r="B170" s="36"/>
      <c r="C170" s="37"/>
      <c r="D170" s="38"/>
      <c r="E170" s="28"/>
      <c r="F170" s="39"/>
      <c r="G170" s="40"/>
      <c r="H170" s="28"/>
    </row>
    <row r="171" spans="1:8" ht="15.75">
      <c r="A171" s="35"/>
      <c r="B171" s="36"/>
      <c r="C171" s="37"/>
      <c r="D171" s="38"/>
      <c r="E171" s="28"/>
      <c r="F171" s="39"/>
      <c r="G171" s="40"/>
      <c r="H171" s="28"/>
    </row>
    <row r="172" spans="1:8" ht="15.75">
      <c r="A172" s="35"/>
      <c r="B172" s="36"/>
      <c r="C172" s="37"/>
      <c r="D172" s="38"/>
      <c r="E172" s="28"/>
      <c r="F172" s="39"/>
      <c r="G172" s="40"/>
      <c r="H172" s="28"/>
    </row>
    <row r="173" spans="1:8" ht="15.75">
      <c r="A173" s="35"/>
      <c r="B173" s="36"/>
      <c r="C173" s="37"/>
      <c r="D173" s="38"/>
      <c r="E173" s="28"/>
      <c r="F173" s="39"/>
      <c r="G173" s="40"/>
      <c r="H173" s="28"/>
    </row>
    <row r="174" spans="1:8" ht="15.75">
      <c r="A174" s="35"/>
      <c r="B174" s="36"/>
      <c r="C174" s="37"/>
      <c r="D174" s="38"/>
      <c r="E174" s="28"/>
      <c r="F174" s="39"/>
      <c r="G174" s="40"/>
      <c r="H174" s="28"/>
    </row>
    <row r="175" spans="1:8" ht="15.75">
      <c r="A175" s="35"/>
      <c r="B175" s="36"/>
      <c r="C175" s="37"/>
      <c r="D175" s="38"/>
      <c r="E175" s="28"/>
      <c r="F175" s="39"/>
      <c r="G175" s="40"/>
      <c r="H175" s="28"/>
    </row>
    <row r="176" spans="1:8" ht="15.75">
      <c r="A176" s="35"/>
      <c r="B176" s="36"/>
      <c r="C176" s="37"/>
      <c r="D176" s="38"/>
      <c r="E176" s="28"/>
      <c r="F176" s="39"/>
      <c r="G176" s="40"/>
      <c r="H176" s="28"/>
    </row>
    <row r="177" spans="1:8" ht="15.75">
      <c r="A177" s="35"/>
      <c r="B177" s="36"/>
      <c r="C177" s="37"/>
      <c r="D177" s="38"/>
      <c r="E177" s="28"/>
      <c r="F177" s="39"/>
      <c r="G177" s="40"/>
      <c r="H177" s="28"/>
    </row>
    <row r="178" spans="1:8" ht="15.75">
      <c r="A178" s="35"/>
      <c r="B178" s="36"/>
      <c r="C178" s="37"/>
      <c r="D178" s="38"/>
      <c r="E178" s="28"/>
      <c r="F178" s="39"/>
      <c r="G178" s="40"/>
      <c r="H178" s="28"/>
    </row>
    <row r="179" spans="1:8" ht="15.75">
      <c r="A179" s="35"/>
      <c r="B179" s="36"/>
      <c r="C179" s="37"/>
      <c r="D179" s="38"/>
      <c r="E179" s="28"/>
      <c r="F179" s="39"/>
      <c r="G179" s="40"/>
      <c r="H179" s="28"/>
    </row>
    <row r="180" spans="1:8" ht="15.75">
      <c r="A180" s="35"/>
      <c r="B180" s="36"/>
      <c r="C180" s="37"/>
      <c r="D180" s="38"/>
      <c r="E180" s="28"/>
      <c r="F180" s="39"/>
      <c r="G180" s="40"/>
      <c r="H180" s="28"/>
    </row>
    <row r="181" spans="1:8" ht="15.75">
      <c r="A181" s="35"/>
      <c r="B181" s="36"/>
      <c r="C181" s="37"/>
      <c r="D181" s="38"/>
      <c r="E181" s="28"/>
      <c r="F181" s="39"/>
      <c r="G181" s="40"/>
      <c r="H181" s="28"/>
    </row>
    <row r="182" spans="1:8" ht="15.75">
      <c r="A182" s="35"/>
      <c r="B182" s="36"/>
      <c r="C182" s="37"/>
      <c r="D182" s="38"/>
      <c r="E182" s="28"/>
      <c r="F182" s="39"/>
      <c r="G182" s="40"/>
      <c r="H182" s="28"/>
    </row>
    <row r="183" spans="1:8" ht="15.75">
      <c r="A183" s="35"/>
      <c r="B183" s="36"/>
      <c r="C183" s="37"/>
      <c r="D183" s="38"/>
      <c r="E183" s="28"/>
      <c r="F183" s="39"/>
      <c r="G183" s="40"/>
      <c r="H183" s="28"/>
    </row>
    <row r="184" spans="1:8" ht="15.75">
      <c r="A184" s="35"/>
      <c r="B184" s="36"/>
      <c r="C184" s="37"/>
      <c r="D184" s="38"/>
      <c r="E184" s="28"/>
      <c r="F184" s="39"/>
      <c r="G184" s="40"/>
      <c r="H184" s="28"/>
    </row>
    <row r="185" spans="1:8" ht="15.75">
      <c r="A185" s="35"/>
      <c r="B185" s="36"/>
      <c r="C185" s="37"/>
      <c r="D185" s="38"/>
      <c r="E185" s="28"/>
      <c r="F185" s="39"/>
      <c r="G185" s="40"/>
      <c r="H185" s="28"/>
    </row>
    <row r="186" spans="1:8" ht="15.75">
      <c r="A186" s="35"/>
      <c r="B186" s="36"/>
      <c r="C186" s="37"/>
      <c r="D186" s="38"/>
      <c r="E186" s="28"/>
      <c r="F186" s="39"/>
      <c r="G186" s="40"/>
      <c r="H186" s="28"/>
    </row>
    <row r="187" spans="1:8" ht="15.75">
      <c r="A187" s="35"/>
      <c r="B187" s="36"/>
      <c r="C187" s="37"/>
      <c r="D187" s="38"/>
      <c r="E187" s="28"/>
      <c r="F187" s="39"/>
      <c r="G187" s="40"/>
      <c r="H187" s="28"/>
    </row>
    <row r="188" spans="1:8" ht="15.75">
      <c r="A188" s="35"/>
      <c r="B188" s="36"/>
      <c r="C188" s="37"/>
      <c r="D188" s="38"/>
      <c r="E188" s="28"/>
      <c r="F188" s="39"/>
      <c r="G188" s="40"/>
      <c r="H188" s="28"/>
    </row>
    <row r="189" spans="1:8" ht="15.75">
      <c r="A189" s="35"/>
      <c r="B189" s="36"/>
      <c r="C189" s="37"/>
      <c r="D189" s="38"/>
      <c r="E189" s="28"/>
      <c r="F189" s="39"/>
      <c r="G189" s="40"/>
      <c r="H189" s="28"/>
    </row>
    <row r="190" spans="1:8" ht="15.75">
      <c r="A190" s="35"/>
      <c r="B190" s="36"/>
      <c r="C190" s="37"/>
      <c r="D190" s="38"/>
      <c r="E190" s="28"/>
      <c r="F190" s="39"/>
      <c r="G190" s="40"/>
      <c r="H190" s="28"/>
    </row>
    <row r="191" spans="1:8" ht="15.75">
      <c r="A191" s="35"/>
      <c r="B191" s="36"/>
      <c r="C191" s="37"/>
      <c r="D191" s="38"/>
      <c r="E191" s="28"/>
      <c r="F191" s="39"/>
      <c r="G191" s="40"/>
      <c r="H191" s="28"/>
    </row>
    <row r="192" spans="1:8" ht="15.75">
      <c r="A192" s="35"/>
      <c r="B192" s="36"/>
      <c r="C192" s="37"/>
      <c r="D192" s="38"/>
      <c r="E192" s="28"/>
      <c r="F192" s="39"/>
      <c r="G192" s="40"/>
      <c r="H192" s="28"/>
    </row>
    <row r="193" spans="1:8" ht="15.75">
      <c r="A193" s="35"/>
      <c r="B193" s="36"/>
      <c r="C193" s="37"/>
      <c r="D193" s="38"/>
      <c r="E193" s="28"/>
      <c r="F193" s="39"/>
      <c r="G193" s="40"/>
      <c r="H193" s="28"/>
    </row>
    <row r="194" spans="1:8" ht="15.75">
      <c r="A194" s="35"/>
      <c r="B194" s="36"/>
      <c r="C194" s="37"/>
      <c r="D194" s="38"/>
      <c r="E194" s="28"/>
      <c r="F194" s="39"/>
      <c r="G194" s="40"/>
      <c r="H194" s="28"/>
    </row>
    <row r="195" spans="1:8" ht="15.75">
      <c r="A195" s="35"/>
      <c r="B195" s="36"/>
      <c r="C195" s="37"/>
      <c r="D195" s="38"/>
      <c r="E195" s="28"/>
      <c r="F195" s="39"/>
      <c r="G195" s="40"/>
      <c r="H195" s="28"/>
    </row>
    <row r="196" spans="1:8" ht="15.75">
      <c r="A196" s="35"/>
      <c r="B196" s="36"/>
      <c r="C196" s="37"/>
      <c r="D196" s="38"/>
      <c r="E196" s="28"/>
      <c r="F196" s="39"/>
      <c r="G196" s="40"/>
      <c r="H196" s="28"/>
    </row>
    <row r="197" spans="1:8" ht="15.75">
      <c r="A197" s="35"/>
      <c r="B197" s="36"/>
      <c r="C197" s="37"/>
      <c r="D197" s="38"/>
      <c r="E197" s="28"/>
      <c r="F197" s="39"/>
      <c r="G197" s="40"/>
      <c r="H197" s="28"/>
    </row>
    <row r="198" spans="1:8" ht="15.75">
      <c r="A198" s="35"/>
      <c r="B198" s="36"/>
      <c r="C198" s="37"/>
      <c r="D198" s="38"/>
      <c r="E198" s="28"/>
      <c r="F198" s="39"/>
      <c r="G198" s="40"/>
      <c r="H198" s="28"/>
    </row>
    <row r="199" spans="1:8" ht="15.75">
      <c r="A199" s="35"/>
      <c r="B199" s="36"/>
      <c r="C199" s="37"/>
      <c r="D199" s="38"/>
      <c r="E199" s="28"/>
      <c r="F199" s="39"/>
      <c r="G199" s="40"/>
      <c r="H199" s="28"/>
    </row>
    <row r="200" spans="1:8" ht="16.5">
      <c r="C200" s="26"/>
      <c r="D200" s="27"/>
      <c r="E200" s="27"/>
      <c r="H200" s="28"/>
    </row>
    <row r="201" spans="1:8" ht="16.5">
      <c r="C201" s="26"/>
      <c r="D201" s="27"/>
      <c r="E201" s="27"/>
      <c r="H201" s="28"/>
    </row>
    <row r="202" spans="1:8" ht="16.5">
      <c r="C202" s="26"/>
      <c r="D202" s="27"/>
      <c r="E202" s="27"/>
      <c r="H202" s="28"/>
    </row>
    <row r="203" spans="1:8" ht="16.5">
      <c r="C203" s="26"/>
      <c r="D203" s="27"/>
      <c r="E203" s="27"/>
      <c r="H203" s="28"/>
    </row>
    <row r="204" spans="1:8" ht="16.5">
      <c r="C204" s="26"/>
      <c r="D204" s="27"/>
      <c r="E204" s="27"/>
      <c r="H204" s="28"/>
    </row>
    <row r="205" spans="1:8" ht="16.5">
      <c r="C205" s="26"/>
      <c r="H205" s="28"/>
    </row>
    <row r="206" spans="1:8" ht="16.5">
      <c r="C206" s="26"/>
      <c r="H206" s="28"/>
    </row>
    <row r="207" spans="1:8" ht="16.5">
      <c r="C207" s="26"/>
      <c r="H207" s="28"/>
    </row>
    <row r="208" spans="1:8" ht="16.5">
      <c r="C208" s="26"/>
      <c r="H208" s="28"/>
    </row>
    <row r="209" spans="3:8" ht="16.5">
      <c r="C209" s="26"/>
      <c r="H209" s="28"/>
    </row>
    <row r="210" spans="3:8" ht="16.5">
      <c r="C210" s="26"/>
      <c r="H210" s="28"/>
    </row>
    <row r="211" spans="3:8" ht="16.5">
      <c r="C211" s="26"/>
      <c r="H211" s="28"/>
    </row>
    <row r="212" spans="3:8" ht="16.5">
      <c r="C212" s="26"/>
    </row>
    <row r="213" spans="3:8" ht="16.5">
      <c r="C213" s="26"/>
    </row>
    <row r="214" spans="3:8" ht="16.5">
      <c r="C214" s="26"/>
    </row>
    <row r="215" spans="3:8" ht="16.5">
      <c r="C215" s="26"/>
    </row>
    <row r="216" spans="3:8" ht="16.5">
      <c r="C216" s="26"/>
    </row>
    <row r="217" spans="3:8" ht="16.5">
      <c r="C217" s="26"/>
    </row>
    <row r="218" spans="3:8" ht="16.5">
      <c r="C218" s="26"/>
    </row>
    <row r="219" spans="3:8" ht="16.5">
      <c r="C219" s="26"/>
    </row>
    <row r="220" spans="3:8" ht="16.5">
      <c r="C220" s="26"/>
    </row>
    <row r="221" spans="3:8" ht="16.5">
      <c r="C221" s="26"/>
    </row>
    <row r="222" spans="3:8" ht="16.5">
      <c r="C222" s="26"/>
    </row>
    <row r="223" spans="3:8" ht="16.5">
      <c r="C223" s="26"/>
    </row>
    <row r="224" spans="3:8" ht="16.5">
      <c r="C224" s="26"/>
    </row>
    <row r="225" spans="3:3" ht="16.5">
      <c r="C225" s="25"/>
    </row>
  </sheetData>
  <sheetProtection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N55"/>
  <sheetViews>
    <sheetView workbookViewId="0">
      <selection activeCell="E4" sqref="E4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8" width="21.85546875" customWidth="1"/>
    <col min="9" max="9" width="15.85546875" customWidth="1"/>
    <col min="10" max="10" width="26.85546875" customWidth="1"/>
    <col min="11" max="11" width="15.42578125" customWidth="1"/>
    <col min="12" max="12" width="30.85546875" customWidth="1"/>
  </cols>
  <sheetData>
    <row r="1" spans="2:14" ht="23.25">
      <c r="B1" s="85" t="s">
        <v>272</v>
      </c>
    </row>
    <row r="4" spans="2:14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1</v>
      </c>
      <c r="I4" s="32" t="s">
        <v>5</v>
      </c>
      <c r="J4" s="32" t="s">
        <v>4</v>
      </c>
      <c r="K4" s="32" t="s">
        <v>6</v>
      </c>
    </row>
    <row r="5" spans="2:14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OFFSET(Members!D80,Members!$L$1,0)</f>
        <v>15</v>
      </c>
      <c r="G5" s="79">
        <f ca="1">OFFSET(Members!D41,Members!$L$1,0)</f>
        <v>20</v>
      </c>
      <c r="K5" s="79">
        <f ca="1">SUM(L5*'Price of Tickets'!$I$11,M5*'Price of Tickets'!$I$12,N5*'Price of Tickets'!$I$13+F5+G5)</f>
        <v>106</v>
      </c>
      <c r="L5" s="93" t="b">
        <v>1</v>
      </c>
      <c r="M5" s="93" t="b">
        <v>1</v>
      </c>
      <c r="N5" s="93" t="b">
        <v>1</v>
      </c>
    </row>
    <row r="6" spans="2:14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OFFSET(Members!D81,Members!$L$1,0)</f>
        <v>5</v>
      </c>
      <c r="G6" s="79">
        <f ca="1">OFFSET(Members!D42,Members!$L$1,0)</f>
        <v>7.4</v>
      </c>
      <c r="K6" s="89">
        <f ca="1">SUM(L6*'Price of Tickets'!$I$104,M6*'Price of Tickets'!$I$105,N6*'Price of Tickets'!$I$106+F6+G6)</f>
        <v>58.4</v>
      </c>
      <c r="L6" s="93" t="b">
        <v>1</v>
      </c>
      <c r="M6" s="93" t="b">
        <v>1</v>
      </c>
      <c r="N6" s="93" t="b">
        <v>1</v>
      </c>
    </row>
    <row r="7" spans="2:14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OFFSET(Members!D82,Members!$L$1,0)</f>
        <v>15</v>
      </c>
      <c r="G7" s="79">
        <f ca="1">OFFSET(Members!D43,Members!$L$1,0)</f>
        <v>20</v>
      </c>
      <c r="K7" s="79">
        <f ca="1">SUM(L7*'Price of Tickets'!$I$11,M7*'Price of Tickets'!$I$12,N7*'Price of Tickets'!$I$13+F7+G7)</f>
        <v>106</v>
      </c>
      <c r="L7" s="93" t="b">
        <v>1</v>
      </c>
      <c r="M7" s="93" t="b">
        <v>1</v>
      </c>
      <c r="N7" s="93" t="b">
        <v>1</v>
      </c>
    </row>
    <row r="8" spans="2:14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OFFSET(Members!D83,Members!$L$1,0)</f>
        <v>7.5</v>
      </c>
      <c r="G8" s="79">
        <f ca="1">OFFSET(Members!D44,Members!$L$1,0)</f>
        <v>11</v>
      </c>
      <c r="K8" s="89">
        <f ca="1">SUM(L8*'Price of Tickets'!$H$67,M8*'Price of Tickets'!$H$68,N8*'Price of Tickets'!$H$69+F8+G8)</f>
        <v>94.4</v>
      </c>
      <c r="L8" s="93" t="b">
        <v>1</v>
      </c>
      <c r="M8" s="93" t="b">
        <v>1</v>
      </c>
      <c r="N8" s="93" t="b">
        <v>1</v>
      </c>
    </row>
    <row r="9" spans="2:14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OFFSET(Members!D84,Members!$L$1,0)</f>
        <v>15</v>
      </c>
      <c r="G9" s="79">
        <f ca="1">OFFSET(Members!D45,Members!$L$1,0)</f>
        <v>20</v>
      </c>
      <c r="K9" s="79">
        <f ca="1">SUM(L9*'Price of Tickets'!$I$11,M9*'Price of Tickets'!$I$12,N9*'Price of Tickets'!$I$13+F9+G9)</f>
        <v>106</v>
      </c>
      <c r="L9" s="93" t="b">
        <v>1</v>
      </c>
      <c r="M9" s="93" t="b">
        <v>1</v>
      </c>
      <c r="N9" s="93" t="b">
        <v>1</v>
      </c>
    </row>
    <row r="10" spans="2:14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OFFSET(Members!D85,Members!$L$1,0)</f>
        <v>5</v>
      </c>
      <c r="G10" s="79">
        <f ca="1">OFFSET(Members!D46,Members!$L$1,0)</f>
        <v>7.4</v>
      </c>
      <c r="K10" s="89">
        <f ca="1">SUM(L10*'Price of Tickets'!$I$104,M10*'Price of Tickets'!$I$105,N10*'Price of Tickets'!$I$106+F10+G10)</f>
        <v>58.4</v>
      </c>
      <c r="L10" s="93" t="b">
        <v>1</v>
      </c>
      <c r="M10" s="93" t="b">
        <v>1</v>
      </c>
      <c r="N10" s="93" t="b">
        <v>1</v>
      </c>
    </row>
    <row r="11" spans="2:14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OFFSET(Members!D86,Members!$L$1,0)</f>
        <v>10</v>
      </c>
      <c r="G11" s="79">
        <f ca="1">OFFSET(Members!D47,Members!$L$1,0)</f>
        <v>14.5</v>
      </c>
      <c r="K11" s="89">
        <f ca="1">SUM(L11*'Price of Tickets'!$H$39,M11*'Price of Tickets'!$H$40,N11*'Price of Tickets'!$H$41+F11+G11)</f>
        <v>107.30000000000001</v>
      </c>
      <c r="L11" s="93" t="b">
        <v>1</v>
      </c>
      <c r="M11" s="93" t="b">
        <v>1</v>
      </c>
      <c r="N11" s="93" t="b">
        <v>1</v>
      </c>
    </row>
    <row r="12" spans="2:14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OFFSET(Members!D87,Members!$L$1,0)</f>
        <v>10</v>
      </c>
      <c r="G12" s="79">
        <f ca="1">OFFSET(Members!D48,Members!$L$1,0)</f>
        <v>14.5</v>
      </c>
      <c r="K12" s="89">
        <f ca="1">SUM(L12*'Price of Tickets'!$H$39,M12*'Price of Tickets'!$H$40,N12*'Price of Tickets'!$H$41+F12+G12)</f>
        <v>107.30000000000001</v>
      </c>
      <c r="L12" s="93" t="b">
        <v>1</v>
      </c>
      <c r="M12" s="93" t="b">
        <v>1</v>
      </c>
      <c r="N12" s="93" t="b">
        <v>1</v>
      </c>
    </row>
    <row r="13" spans="2:14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OFFSET(Members!D88,Members!$L$1,0)</f>
        <v>15</v>
      </c>
      <c r="G13" s="79">
        <f ca="1">OFFSET(Members!D49,Members!$L$1,0)</f>
        <v>20</v>
      </c>
      <c r="K13" s="79">
        <f ca="1">SUM(L13*'Price of Tickets'!$I$11,M13*'Price of Tickets'!$I$12,N13*'Price of Tickets'!$I$13+F13+G13)</f>
        <v>106</v>
      </c>
      <c r="L13" s="93" t="b">
        <v>1</v>
      </c>
      <c r="M13" s="93" t="b">
        <v>1</v>
      </c>
      <c r="N13" s="93" t="b">
        <v>1</v>
      </c>
    </row>
    <row r="14" spans="2:14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OFFSET(Members!D89,Members!$L$1,0)</f>
        <v>15</v>
      </c>
      <c r="G14" s="79">
        <f ca="1">OFFSET(Members!D50,Members!$L$1,0)</f>
        <v>20</v>
      </c>
      <c r="K14" s="79">
        <f ca="1">SUM(L14*'Price of Tickets'!$I$11,M14*'Price of Tickets'!$I$12,N14*'Price of Tickets'!$I$13+F14+G14)</f>
        <v>106</v>
      </c>
      <c r="L14" s="93" t="b">
        <v>1</v>
      </c>
      <c r="M14" s="93" t="b">
        <v>1</v>
      </c>
      <c r="N14" s="93" t="b">
        <v>1</v>
      </c>
    </row>
    <row r="15" spans="2:14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OFFSET(Members!D90,Members!$L$1,0)</f>
        <v>7.5</v>
      </c>
      <c r="G15" s="79">
        <f ca="1">OFFSET(Members!D51,Members!$L$1,0)</f>
        <v>11</v>
      </c>
      <c r="K15" s="89">
        <f ca="1">SUM(L15*'Price of Tickets'!$H$67,M15*'Price of Tickets'!$H$68,N15*'Price of Tickets'!$H$69+F15+G15)</f>
        <v>94.4</v>
      </c>
      <c r="L15" s="93" t="b">
        <v>1</v>
      </c>
      <c r="M15" s="93" t="b">
        <v>1</v>
      </c>
      <c r="N15" s="93" t="b">
        <v>1</v>
      </c>
    </row>
    <row r="16" spans="2:14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OFFSET(Members!D91,Members!$L$1,0)</f>
        <v>15</v>
      </c>
      <c r="G16" s="79">
        <f ca="1">OFFSET(Members!D52,Members!$L$1,0)</f>
        <v>20</v>
      </c>
      <c r="K16" s="79">
        <f ca="1">SUM(L16*'Price of Tickets'!$I$11,M16*'Price of Tickets'!$I$12,N16*'Price of Tickets'!$I$13+F16+G16)</f>
        <v>106</v>
      </c>
      <c r="L16" s="93" t="b">
        <v>1</v>
      </c>
      <c r="M16" s="93" t="b">
        <v>1</v>
      </c>
      <c r="N16" s="93" t="b">
        <v>1</v>
      </c>
    </row>
    <row r="17" spans="2:14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OFFSET(Members!D92,Members!$L$1,0)</f>
        <v>15</v>
      </c>
      <c r="G17" s="79">
        <f ca="1">OFFSET(Members!D53,Members!$L$1,0)</f>
        <v>20</v>
      </c>
      <c r="K17" s="79">
        <f ca="1">SUM(L17*'Price of Tickets'!$I$11,M17*'Price of Tickets'!$I$12,N17*'Price of Tickets'!$I$13+F17+G17)</f>
        <v>106</v>
      </c>
      <c r="L17" s="93" t="b">
        <v>1</v>
      </c>
      <c r="M17" s="93" t="b">
        <v>1</v>
      </c>
      <c r="N17" s="93" t="b">
        <v>1</v>
      </c>
    </row>
    <row r="18" spans="2:14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OFFSET(Members!D93,Members!$L$1,0)</f>
        <v>15</v>
      </c>
      <c r="G18" s="79">
        <f ca="1">OFFSET(Members!D54,Members!$L$1,0)</f>
        <v>20</v>
      </c>
      <c r="K18" s="79">
        <f ca="1">SUM(L18*'Price of Tickets'!$I$11,M18*'Price of Tickets'!$I$12,N18*'Price of Tickets'!$I$13+F18+G18)</f>
        <v>106</v>
      </c>
      <c r="L18" s="93" t="b">
        <v>1</v>
      </c>
      <c r="M18" s="93" t="b">
        <v>1</v>
      </c>
      <c r="N18" s="93" t="b">
        <v>1</v>
      </c>
    </row>
    <row r="19" spans="2:14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OFFSET(Members!D94,Members!$L$1,0)</f>
        <v>15</v>
      </c>
      <c r="G19" s="79">
        <f ca="1">OFFSET(Members!D55,Members!$L$1,0)</f>
        <v>20</v>
      </c>
      <c r="K19" s="79">
        <f ca="1">SUM(L19*'Price of Tickets'!$I$11,M19*'Price of Tickets'!$I$12,N19*'Price of Tickets'!$I$13+F19+G19)</f>
        <v>106</v>
      </c>
      <c r="L19" s="93" t="b">
        <v>1</v>
      </c>
      <c r="M19" s="93" t="b">
        <v>1</v>
      </c>
      <c r="N19" s="93" t="b">
        <v>1</v>
      </c>
    </row>
    <row r="20" spans="2:14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OFFSET(Members!D95,Members!$L$1,0)</f>
        <v>7.5</v>
      </c>
      <c r="G20" s="79">
        <f ca="1">OFFSET(Members!D56,Members!$L$1,0)</f>
        <v>11</v>
      </c>
      <c r="K20" s="89">
        <f ca="1">SUM(L20*'Price of Tickets'!$H$67,M20*'Price of Tickets'!$H$68,N20*'Price of Tickets'!$H$69+F20+G20)</f>
        <v>94.4</v>
      </c>
      <c r="L20" s="93" t="b">
        <v>1</v>
      </c>
      <c r="M20" s="93" t="b">
        <v>1</v>
      </c>
      <c r="N20" s="93" t="b">
        <v>1</v>
      </c>
    </row>
    <row r="21" spans="2:14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OFFSET(Members!D96,Members!$L$1,0)</f>
        <v>15</v>
      </c>
      <c r="G21" s="79">
        <f ca="1">OFFSET(Members!D57,Members!$L$1,0)</f>
        <v>20</v>
      </c>
      <c r="K21" s="79">
        <f ca="1">SUM(L21*'Price of Tickets'!$I$11,M21*'Price of Tickets'!$I$12,N21*'Price of Tickets'!$I$13+F21+G21)</f>
        <v>106</v>
      </c>
      <c r="L21" s="93" t="b">
        <v>1</v>
      </c>
      <c r="M21" s="93" t="b">
        <v>1</v>
      </c>
      <c r="N21" s="93" t="b">
        <v>1</v>
      </c>
    </row>
    <row r="22" spans="2:14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OFFSET(Members!D97,Members!$L$1,0)</f>
        <v>7.5</v>
      </c>
      <c r="G22" s="79">
        <f ca="1">OFFSET(Members!D58,Members!$L$1,0)</f>
        <v>11</v>
      </c>
      <c r="K22" s="89">
        <f ca="1">SUM(L22*'Price of Tickets'!$H$67,M22*'Price of Tickets'!$H$68,N22*'Price of Tickets'!$H$69+F22+G22)</f>
        <v>94.4</v>
      </c>
      <c r="L22" s="93" t="b">
        <v>1</v>
      </c>
      <c r="M22" s="93" t="b">
        <v>1</v>
      </c>
      <c r="N22" s="93" t="b">
        <v>1</v>
      </c>
    </row>
    <row r="23" spans="2:14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OFFSET(Members!D98,Members!$L$1,0)</f>
        <v>15</v>
      </c>
      <c r="G23" s="79">
        <f ca="1">OFFSET(Members!D59,Members!$L$1,0)</f>
        <v>20</v>
      </c>
      <c r="K23" s="79">
        <f ca="1">SUM(L23*'Price of Tickets'!$I$11,M23*'Price of Tickets'!$I$12,N23*'Price of Tickets'!$I$13+F23+G23)</f>
        <v>106</v>
      </c>
      <c r="L23" s="93" t="b">
        <v>1</v>
      </c>
      <c r="M23" s="93" t="b">
        <v>1</v>
      </c>
      <c r="N23" s="93" t="b">
        <v>1</v>
      </c>
    </row>
    <row r="24" spans="2:14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OFFSET(Members!D99,Members!$L$1,0)</f>
        <v>10</v>
      </c>
      <c r="G24" s="79">
        <f ca="1">OFFSET(Members!D60,Members!$L$1,0)</f>
        <v>14.5</v>
      </c>
      <c r="K24" s="89">
        <f ca="1">SUM(L24*'Price of Tickets'!$H$39,M24*'Price of Tickets'!$H$40,N24*'Price of Tickets'!$H$41+F24+G24)</f>
        <v>107.30000000000001</v>
      </c>
      <c r="L24" s="93" t="b">
        <v>1</v>
      </c>
      <c r="M24" s="93" t="b">
        <v>1</v>
      </c>
      <c r="N24" s="93" t="b">
        <v>1</v>
      </c>
    </row>
    <row r="25" spans="2:14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OFFSET(Members!D100,Members!$L$1,0)</f>
        <v>10</v>
      </c>
      <c r="G25" s="79">
        <f ca="1">OFFSET(Members!D61,Members!$L$1,0)</f>
        <v>14.5</v>
      </c>
      <c r="K25" s="89">
        <f ca="1">SUM(L25*'Price of Tickets'!$H$39,M25*'Price of Tickets'!$H$40,N25*'Price of Tickets'!$H$41+F25+G25)</f>
        <v>107.30000000000001</v>
      </c>
      <c r="L25" s="93" t="b">
        <v>1</v>
      </c>
      <c r="M25" s="93" t="b">
        <v>1</v>
      </c>
      <c r="N25" s="93" t="b">
        <v>1</v>
      </c>
    </row>
    <row r="26" spans="2:14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OFFSET(Members!D101,Members!$L$1,0)</f>
        <v>15</v>
      </c>
      <c r="G26" s="79">
        <f ca="1">OFFSET(Members!D62,Members!$L$1,0)</f>
        <v>20</v>
      </c>
      <c r="K26" s="79">
        <f ca="1">SUM(L26*'Price of Tickets'!$I$11,M26*'Price of Tickets'!$I$12,N26*'Price of Tickets'!$I$13+F26+G26)</f>
        <v>106</v>
      </c>
      <c r="L26" s="93" t="b">
        <v>1</v>
      </c>
      <c r="M26" s="93" t="b">
        <v>1</v>
      </c>
      <c r="N26" s="93" t="b">
        <v>1</v>
      </c>
    </row>
    <row r="27" spans="2:14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OFFSET(Members!D102,Members!$L$1,0)</f>
        <v>15</v>
      </c>
      <c r="G27" s="79">
        <f ca="1">OFFSET(Members!D63,Members!$L$1,0)</f>
        <v>20</v>
      </c>
      <c r="K27" s="79">
        <f ca="1">SUM(L27*'Price of Tickets'!$I$11,M27*'Price of Tickets'!$I$12,N27*'Price of Tickets'!$I$13+F27+G7)</f>
        <v>106</v>
      </c>
      <c r="L27" s="93" t="b">
        <v>1</v>
      </c>
      <c r="M27" s="93" t="b">
        <v>1</v>
      </c>
      <c r="N27" s="93" t="b">
        <v>1</v>
      </c>
    </row>
    <row r="28" spans="2:14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OFFSET(Members!D103,Members!$L$1,0)</f>
        <v>10</v>
      </c>
      <c r="G28" s="79">
        <f ca="1">OFFSET(Members!D64,Members!$L$1,0)</f>
        <v>14.5</v>
      </c>
      <c r="K28" s="89">
        <f ca="1">SUM(L28*'Price of Tickets'!$H$39,M28*'Price of Tickets'!$H$40,N28*'Price of Tickets'!$H$41+F28+G28)</f>
        <v>107.30000000000001</v>
      </c>
      <c r="L28" s="93" t="b">
        <v>1</v>
      </c>
      <c r="M28" s="93" t="b">
        <v>1</v>
      </c>
      <c r="N28" s="93" t="b">
        <v>1</v>
      </c>
    </row>
    <row r="29" spans="2:14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OFFSET(Members!D104,Members!$L$1,0)</f>
        <v>10</v>
      </c>
      <c r="G29" s="79">
        <f ca="1">OFFSET(Members!D65,Members!$L$1,0)</f>
        <v>14.5</v>
      </c>
      <c r="K29" s="89">
        <f ca="1">SUM(L29*'Price of Tickets'!$H$39,M29*'Price of Tickets'!$H$40,N29*'Price of Tickets'!$H$41+F29+G29)</f>
        <v>107.30000000000001</v>
      </c>
      <c r="L29" s="93" t="b">
        <v>1</v>
      </c>
      <c r="M29" s="93" t="b">
        <v>1</v>
      </c>
      <c r="N29" s="93" t="b">
        <v>1</v>
      </c>
    </row>
    <row r="30" spans="2:14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OFFSET(Members!D105,Members!$L$1,0)</f>
        <v>15</v>
      </c>
      <c r="G30" s="79">
        <f ca="1">OFFSET(Members!D66,Members!$L$1,0)</f>
        <v>20</v>
      </c>
      <c r="K30" s="79">
        <f ca="1">SUM(L30*'Price of Tickets'!$I$11,M30*'Price of Tickets'!$I$12,N30*'Price of Tickets'!$I$13+F30+G30)</f>
        <v>106</v>
      </c>
      <c r="L30" s="93" t="b">
        <v>1</v>
      </c>
      <c r="M30" s="93" t="b">
        <v>1</v>
      </c>
      <c r="N30" s="93" t="b">
        <v>1</v>
      </c>
    </row>
    <row r="31" spans="2:14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OFFSET(Members!D106,Members!$L$1,0)</f>
        <v>15</v>
      </c>
      <c r="G31" s="79">
        <f ca="1">OFFSET(Members!D67,Members!$L$1,0)</f>
        <v>20</v>
      </c>
      <c r="K31" s="79">
        <f ca="1">SUM(L31*'Price of Tickets'!$I$11,M31*'Price of Tickets'!$I$12,N31*'Price of Tickets'!$I$13+F31+G31)</f>
        <v>106</v>
      </c>
      <c r="L31" s="93" t="b">
        <v>1</v>
      </c>
      <c r="M31" s="93" t="b">
        <v>1</v>
      </c>
      <c r="N31" s="93" t="b">
        <v>1</v>
      </c>
    </row>
    <row r="32" spans="2:14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OFFSET(Members!D107,Members!$L$1,0)</f>
        <v>15</v>
      </c>
      <c r="G32" s="79">
        <f ca="1">OFFSET(Members!D68,Members!$L$1,0)</f>
        <v>20</v>
      </c>
      <c r="K32" s="79">
        <f ca="1">SUM(L32*'Price of Tickets'!$I$11,M32*'Price of Tickets'!$I$12,N32*'Price of Tickets'!$I$13+F32+G32)</f>
        <v>106</v>
      </c>
      <c r="L32" s="93" t="b">
        <v>1</v>
      </c>
      <c r="M32" s="93" t="b">
        <v>1</v>
      </c>
      <c r="N32" s="93" t="b">
        <v>1</v>
      </c>
    </row>
    <row r="33" spans="2:14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OFFSET(Members!D108,Members!$L$1,0)</f>
        <v>7.5</v>
      </c>
      <c r="G33" s="79">
        <f ca="1">OFFSET(Members!D69,Members!$L$1,0)</f>
        <v>11</v>
      </c>
      <c r="K33" s="89">
        <f ca="1">SUM(L33*'Price of Tickets'!$H$67,M33*'Price of Tickets'!$H$68,N33*'Price of Tickets'!$H$69+F33+G33)</f>
        <v>94.4</v>
      </c>
      <c r="L33" s="93" t="b">
        <v>1</v>
      </c>
      <c r="M33" s="93" t="b">
        <v>1</v>
      </c>
      <c r="N33" s="93" t="b">
        <v>1</v>
      </c>
    </row>
    <row r="34" spans="2:14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OFFSET(Members!D109,Members!$L$1,0)</f>
        <v>7.5</v>
      </c>
      <c r="G34" s="79">
        <f ca="1">OFFSET(Members!D70,Members!$L$1,0)</f>
        <v>11</v>
      </c>
      <c r="K34" s="89">
        <f ca="1">SUM(L34*'Price of Tickets'!$H$67,M34*'Price of Tickets'!$H$68,N34*'Price of Tickets'!$H$69+F34+G34)</f>
        <v>94.4</v>
      </c>
      <c r="L34" s="93" t="b">
        <v>1</v>
      </c>
      <c r="M34" s="93" t="b">
        <v>1</v>
      </c>
      <c r="N34" s="93" t="b">
        <v>1</v>
      </c>
    </row>
    <row r="35" spans="2:14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OFFSET(Members!D110,Members!$L$1,0)</f>
        <v>15</v>
      </c>
      <c r="G35" s="79">
        <f ca="1">OFFSET(Members!D71,Members!$L$1,0)</f>
        <v>20</v>
      </c>
      <c r="K35" s="79">
        <f ca="1">SUM(L35*'Price of Tickets'!$I$11,M35*'Price of Tickets'!$I$12,N35*'Price of Tickets'!$I$13+F35+G35)</f>
        <v>106</v>
      </c>
      <c r="L35" s="93" t="b">
        <v>1</v>
      </c>
      <c r="M35" s="93" t="b">
        <v>1</v>
      </c>
      <c r="N35" s="93" t="b">
        <v>1</v>
      </c>
    </row>
    <row r="38" spans="2:14" ht="21">
      <c r="I38" s="102" t="s">
        <v>211</v>
      </c>
      <c r="K38" s="123">
        <f ca="1">SUM(K5:K35)</f>
        <v>3129.0000000000009</v>
      </c>
    </row>
    <row r="42" spans="2:14" ht="15.75" thickBot="1"/>
    <row r="43" spans="2:14" ht="16.5" thickTop="1" thickBot="1">
      <c r="B43" s="100" t="s">
        <v>284</v>
      </c>
      <c r="C43" s="99"/>
      <c r="D43" s="96" t="s">
        <v>285</v>
      </c>
      <c r="E43" s="97" t="s">
        <v>301</v>
      </c>
    </row>
    <row r="44" spans="2:14" ht="16.5" thickTop="1" thickBot="1">
      <c r="D44" s="96" t="s">
        <v>294</v>
      </c>
      <c r="E44" s="98"/>
    </row>
    <row r="45" spans="2:14" ht="16.5" thickTop="1" thickBot="1">
      <c r="D45" s="96" t="s">
        <v>288</v>
      </c>
      <c r="E45" s="97"/>
    </row>
    <row r="46" spans="2:14" ht="16.5" thickTop="1" thickBot="1">
      <c r="D46" s="96" t="s">
        <v>289</v>
      </c>
      <c r="E46" s="98" t="s">
        <v>301</v>
      </c>
    </row>
    <row r="47" spans="2:14" ht="16.5" thickTop="1" thickBot="1">
      <c r="D47" s="96" t="s">
        <v>290</v>
      </c>
      <c r="E47" s="98"/>
    </row>
    <row r="48" spans="2:14" ht="16.5" thickTop="1" thickBot="1">
      <c r="D48" s="96" t="s">
        <v>291</v>
      </c>
      <c r="E48" s="97"/>
    </row>
    <row r="49" spans="4:5" ht="16.5" thickTop="1" thickBot="1">
      <c r="D49" s="96" t="s">
        <v>295</v>
      </c>
      <c r="E49" s="98" t="s">
        <v>301</v>
      </c>
    </row>
    <row r="50" spans="4:5" ht="16.5" thickTop="1" thickBot="1">
      <c r="D50" s="96" t="s">
        <v>296</v>
      </c>
      <c r="E50" s="98"/>
    </row>
    <row r="51" spans="4:5" ht="16.5" thickTop="1" thickBot="1">
      <c r="D51" s="96" t="s">
        <v>297</v>
      </c>
      <c r="E51" s="98"/>
    </row>
    <row r="52" spans="4:5" ht="16.5" thickTop="1" thickBot="1">
      <c r="D52" s="96" t="s">
        <v>298</v>
      </c>
      <c r="E52" s="97"/>
    </row>
    <row r="53" spans="4:5" ht="16.5" thickTop="1" thickBot="1">
      <c r="D53" s="96" t="s">
        <v>299</v>
      </c>
      <c r="E53" s="97" t="s">
        <v>301</v>
      </c>
    </row>
    <row r="54" spans="4:5" ht="16.5" thickTop="1" thickBot="1">
      <c r="D54" s="96" t="s">
        <v>300</v>
      </c>
      <c r="E54" s="98" t="s">
        <v>301</v>
      </c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75" r:id="rId3" name="Check Box 147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6</xdr:row>
                    <xdr:rowOff>180975</xdr:rowOff>
                  </from>
                  <to>
                    <xdr:col>7</xdr:col>
                    <xdr:colOff>942975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4" name="Check Box 148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7</xdr:row>
                    <xdr:rowOff>180975</xdr:rowOff>
                  </from>
                  <to>
                    <xdr:col>7</xdr:col>
                    <xdr:colOff>866775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5" name="Check Box 149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8</xdr:row>
                    <xdr:rowOff>180975</xdr:rowOff>
                  </from>
                  <to>
                    <xdr:col>7</xdr:col>
                    <xdr:colOff>866775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6" name="Check Box 150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9</xdr:row>
                    <xdr:rowOff>152400</xdr:rowOff>
                  </from>
                  <to>
                    <xdr:col>7</xdr:col>
                    <xdr:colOff>866775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7" name="Check Box 151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10</xdr:row>
                    <xdr:rowOff>152400</xdr:rowOff>
                  </from>
                  <to>
                    <xdr:col>7</xdr:col>
                    <xdr:colOff>885825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8" name="Check Box 152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11</xdr:row>
                    <xdr:rowOff>161925</xdr:rowOff>
                  </from>
                  <to>
                    <xdr:col>7</xdr:col>
                    <xdr:colOff>895350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9" name="Check Box 153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12</xdr:row>
                    <xdr:rowOff>180975</xdr:rowOff>
                  </from>
                  <to>
                    <xdr:col>7</xdr:col>
                    <xdr:colOff>857250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" name="Check Box 154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13</xdr:row>
                    <xdr:rowOff>171450</xdr:rowOff>
                  </from>
                  <to>
                    <xdr:col>7</xdr:col>
                    <xdr:colOff>866775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" name="Check Box 155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14</xdr:row>
                    <xdr:rowOff>161925</xdr:rowOff>
                  </from>
                  <to>
                    <xdr:col>8</xdr:col>
                    <xdr:colOff>447675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" name="Check Box 156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16</xdr:row>
                    <xdr:rowOff>0</xdr:rowOff>
                  </from>
                  <to>
                    <xdr:col>7</xdr:col>
                    <xdr:colOff>885825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3" name="Check Box 157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16</xdr:row>
                    <xdr:rowOff>180975</xdr:rowOff>
                  </from>
                  <to>
                    <xdr:col>7</xdr:col>
                    <xdr:colOff>914400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6" r:id="rId14" name="Check Box 158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17</xdr:row>
                    <xdr:rowOff>171450</xdr:rowOff>
                  </from>
                  <to>
                    <xdr:col>7</xdr:col>
                    <xdr:colOff>885825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7" r:id="rId15" name="Check Box 159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18</xdr:row>
                    <xdr:rowOff>180975</xdr:rowOff>
                  </from>
                  <to>
                    <xdr:col>7</xdr:col>
                    <xdr:colOff>857250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8" r:id="rId16" name="Check Box 160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20</xdr:row>
                    <xdr:rowOff>9525</xdr:rowOff>
                  </from>
                  <to>
                    <xdr:col>7</xdr:col>
                    <xdr:colOff>828675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7" name="Check Box 161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20</xdr:row>
                    <xdr:rowOff>161925</xdr:rowOff>
                  </from>
                  <to>
                    <xdr:col>7</xdr:col>
                    <xdr:colOff>857250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8" name="Check Box 162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21</xdr:row>
                    <xdr:rowOff>161925</xdr:rowOff>
                  </from>
                  <to>
                    <xdr:col>7</xdr:col>
                    <xdr:colOff>885825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9" name="Check Box 163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22</xdr:row>
                    <xdr:rowOff>161925</xdr:rowOff>
                  </from>
                  <to>
                    <xdr:col>7</xdr:col>
                    <xdr:colOff>885825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20" name="Check Box 164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23</xdr:row>
                    <xdr:rowOff>180975</xdr:rowOff>
                  </from>
                  <to>
                    <xdr:col>7</xdr:col>
                    <xdr:colOff>885825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21" name="Check Box 165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24</xdr:row>
                    <xdr:rowOff>171450</xdr:rowOff>
                  </from>
                  <to>
                    <xdr:col>7</xdr:col>
                    <xdr:colOff>866775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22" name="Check Box 166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25</xdr:row>
                    <xdr:rowOff>180975</xdr:rowOff>
                  </from>
                  <to>
                    <xdr:col>7</xdr:col>
                    <xdr:colOff>847725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23" name="Check Box 167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5</xdr:row>
                    <xdr:rowOff>180975</xdr:rowOff>
                  </from>
                  <to>
                    <xdr:col>7</xdr:col>
                    <xdr:colOff>981075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24" name="Check Box 168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4</xdr:row>
                    <xdr:rowOff>161925</xdr:rowOff>
                  </from>
                  <to>
                    <xdr:col>7</xdr:col>
                    <xdr:colOff>952500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25" name="Check Box 169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5</xdr:row>
                    <xdr:rowOff>171450</xdr:rowOff>
                  </from>
                  <to>
                    <xdr:col>8</xdr:col>
                    <xdr:colOff>828675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8" r:id="rId26" name="Check Box 170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6</xdr:row>
                    <xdr:rowOff>180975</xdr:rowOff>
                  </from>
                  <to>
                    <xdr:col>8</xdr:col>
                    <xdr:colOff>828675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27" name="Check Box 171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7</xdr:row>
                    <xdr:rowOff>171450</xdr:rowOff>
                  </from>
                  <to>
                    <xdr:col>8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28" name="Check Box 172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9</xdr:row>
                    <xdr:rowOff>0</xdr:rowOff>
                  </from>
                  <to>
                    <xdr:col>8</xdr:col>
                    <xdr:colOff>828675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29" name="Check Box 173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10</xdr:row>
                    <xdr:rowOff>180975</xdr:rowOff>
                  </from>
                  <to>
                    <xdr:col>8</xdr:col>
                    <xdr:colOff>828675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30" name="Check Box 174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11</xdr:row>
                    <xdr:rowOff>180975</xdr:rowOff>
                  </from>
                  <to>
                    <xdr:col>8</xdr:col>
                    <xdr:colOff>828675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31" name="Check Box 175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12</xdr:row>
                    <xdr:rowOff>171450</xdr:rowOff>
                  </from>
                  <to>
                    <xdr:col>8</xdr:col>
                    <xdr:colOff>828675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4" r:id="rId32" name="Check Box 176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13</xdr:row>
                    <xdr:rowOff>180975</xdr:rowOff>
                  </from>
                  <to>
                    <xdr:col>8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5" r:id="rId33" name="Check Box 177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14</xdr:row>
                    <xdr:rowOff>161925</xdr:rowOff>
                  </from>
                  <to>
                    <xdr:col>8</xdr:col>
                    <xdr:colOff>828675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6" r:id="rId34" name="Check Box 178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15</xdr:row>
                    <xdr:rowOff>161925</xdr:rowOff>
                  </from>
                  <to>
                    <xdr:col>8</xdr:col>
                    <xdr:colOff>828675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7" r:id="rId35" name="Check Box 179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17</xdr:row>
                    <xdr:rowOff>0</xdr:rowOff>
                  </from>
                  <to>
                    <xdr:col>8</xdr:col>
                    <xdr:colOff>828675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8" r:id="rId36" name="Check Box 180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17</xdr:row>
                    <xdr:rowOff>180975</xdr:rowOff>
                  </from>
                  <to>
                    <xdr:col>8</xdr:col>
                    <xdr:colOff>828675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9" r:id="rId37" name="Check Box 181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18</xdr:row>
                    <xdr:rowOff>171450</xdr:rowOff>
                  </from>
                  <to>
                    <xdr:col>8</xdr:col>
                    <xdr:colOff>828675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0" r:id="rId38" name="Check Box 182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19</xdr:row>
                    <xdr:rowOff>161925</xdr:rowOff>
                  </from>
                  <to>
                    <xdr:col>8</xdr:col>
                    <xdr:colOff>828675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1" r:id="rId39" name="Check Box 183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20</xdr:row>
                    <xdr:rowOff>171450</xdr:rowOff>
                  </from>
                  <to>
                    <xdr:col>8</xdr:col>
                    <xdr:colOff>828675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2" r:id="rId40" name="Check Box 184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21</xdr:row>
                    <xdr:rowOff>161925</xdr:rowOff>
                  </from>
                  <to>
                    <xdr:col>8</xdr:col>
                    <xdr:colOff>828675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3" r:id="rId41" name="Check Box 185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22</xdr:row>
                    <xdr:rowOff>161925</xdr:rowOff>
                  </from>
                  <to>
                    <xdr:col>8</xdr:col>
                    <xdr:colOff>828675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4" r:id="rId42" name="Check Box 186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23</xdr:row>
                    <xdr:rowOff>161925</xdr:rowOff>
                  </from>
                  <to>
                    <xdr:col>8</xdr:col>
                    <xdr:colOff>828675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5" r:id="rId43" name="Check Box 187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25</xdr:row>
                    <xdr:rowOff>0</xdr:rowOff>
                  </from>
                  <to>
                    <xdr:col>8</xdr:col>
                    <xdr:colOff>828675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6" r:id="rId44" name="Check Box 188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26</xdr:row>
                    <xdr:rowOff>9525</xdr:rowOff>
                  </from>
                  <to>
                    <xdr:col>8</xdr:col>
                    <xdr:colOff>828675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7" r:id="rId45" name="Check Box 189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4</xdr:row>
                    <xdr:rowOff>171450</xdr:rowOff>
                  </from>
                  <to>
                    <xdr:col>8</xdr:col>
                    <xdr:colOff>876300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8" r:id="rId46" name="Check Box 190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3</xdr:row>
                    <xdr:rowOff>161925</xdr:rowOff>
                  </from>
                  <to>
                    <xdr:col>8</xdr:col>
                    <xdr:colOff>1000125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9" r:id="rId47" name="Check Box 191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0" r:id="rId48" name="Check Box 192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5</xdr:row>
                    <xdr:rowOff>161925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" r:id="rId49" name="Check Box 193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6</xdr:row>
                    <xdr:rowOff>161925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" r:id="rId50" name="Check Box 194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7</xdr:row>
                    <xdr:rowOff>171450</xdr:rowOff>
                  </from>
                  <to>
                    <xdr:col>10</xdr:col>
                    <xdr:colOff>323850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3" r:id="rId51" name="Check Box 195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8</xdr:row>
                    <xdr:rowOff>171450</xdr:rowOff>
                  </from>
                  <to>
                    <xdr:col>10</xdr:col>
                    <xdr:colOff>323850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4" r:id="rId52" name="Check Box 196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10</xdr:row>
                    <xdr:rowOff>0</xdr:rowOff>
                  </from>
                  <to>
                    <xdr:col>10</xdr:col>
                    <xdr:colOff>323850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5" r:id="rId53" name="Check Box 197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11</xdr:row>
                    <xdr:rowOff>171450</xdr:rowOff>
                  </from>
                  <to>
                    <xdr:col>10</xdr:col>
                    <xdr:colOff>323850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6" r:id="rId54" name="Check Box 198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22</xdr:row>
                    <xdr:rowOff>171450</xdr:rowOff>
                  </from>
                  <to>
                    <xdr:col>9</xdr:col>
                    <xdr:colOff>1600200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7" r:id="rId55" name="Check Box 199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8" r:id="rId56" name="Check Box 200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9" r:id="rId57" name="Check Box 201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171450</xdr:rowOff>
                  </from>
                  <to>
                    <xdr:col>10</xdr:col>
                    <xdr:colOff>323850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0" r:id="rId58" name="Check Box 202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15</xdr:row>
                    <xdr:rowOff>171450</xdr:rowOff>
                  </from>
                  <to>
                    <xdr:col>10</xdr:col>
                    <xdr:colOff>323850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1" r:id="rId59" name="Check Box 203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16</xdr:row>
                    <xdr:rowOff>161925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2" r:id="rId60" name="Check Box 204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17</xdr:row>
                    <xdr:rowOff>171450</xdr:rowOff>
                  </from>
                  <to>
                    <xdr:col>10</xdr:col>
                    <xdr:colOff>323850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" r:id="rId61" name="Check Box 205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18</xdr:row>
                    <xdr:rowOff>161925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" r:id="rId62" name="Check Box 206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19</xdr:row>
                    <xdr:rowOff>171450</xdr:rowOff>
                  </from>
                  <to>
                    <xdr:col>10</xdr:col>
                    <xdr:colOff>323850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5" r:id="rId63" name="Check Box 207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20</xdr:row>
                    <xdr:rowOff>161925</xdr:rowOff>
                  </from>
                  <to>
                    <xdr:col>10</xdr:col>
                    <xdr:colOff>323850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6" r:id="rId64" name="Check Box 208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21</xdr:row>
                    <xdr:rowOff>180975</xdr:rowOff>
                  </from>
                  <to>
                    <xdr:col>10</xdr:col>
                    <xdr:colOff>323850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7" r:id="rId65" name="Check Box 209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</xdr:row>
                    <xdr:rowOff>180975</xdr:rowOff>
                  </from>
                  <to>
                    <xdr:col>10</xdr:col>
                    <xdr:colOff>314325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8" r:id="rId66" name="Check Box 210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23</xdr:row>
                    <xdr:rowOff>161925</xdr:rowOff>
                  </from>
                  <to>
                    <xdr:col>10</xdr:col>
                    <xdr:colOff>323850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9" r:id="rId67" name="Check Box 211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24</xdr:row>
                    <xdr:rowOff>171450</xdr:rowOff>
                  </from>
                  <to>
                    <xdr:col>10</xdr:col>
                    <xdr:colOff>323850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0" r:id="rId68" name="Check Box 212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26</xdr:row>
                    <xdr:rowOff>9525</xdr:rowOff>
                  </from>
                  <to>
                    <xdr:col>10</xdr:col>
                    <xdr:colOff>323850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1" r:id="rId69" name="Check Box 213">
              <controlPr locked="0" defaultSize="0" autoFill="0" autoLine="0" autoPict="0">
                <anchor moveWithCells="1">
                  <from>
                    <xdr:col>7</xdr:col>
                    <xdr:colOff>552450</xdr:colOff>
                    <xdr:row>3</xdr:row>
                    <xdr:rowOff>161925</xdr:rowOff>
                  </from>
                  <to>
                    <xdr:col>7</xdr:col>
                    <xdr:colOff>952500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2" r:id="rId70" name="Check Box 214">
              <controlPr locked="0" defaultSize="0" autoFill="0" autoLine="0" autoPict="0">
                <anchor moveWithCells="1">
                  <from>
                    <xdr:col>8</xdr:col>
                    <xdr:colOff>361950</xdr:colOff>
                    <xdr:row>9</xdr:row>
                    <xdr:rowOff>171450</xdr:rowOff>
                  </from>
                  <to>
                    <xdr:col>8</xdr:col>
                    <xdr:colOff>828675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3" r:id="rId71" name="Check Box 215">
              <controlPr locked="0" defaultSize="0" autoFill="0" autoLine="0" autoPict="0">
                <anchor moveWithCells="1">
                  <from>
                    <xdr:col>9</xdr:col>
                    <xdr:colOff>733425</xdr:colOff>
                    <xdr:row>10</xdr:row>
                    <xdr:rowOff>161925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4" r:id="rId72" name="Check Box 216">
              <controlPr locked="0" defaultSize="0" autoFill="0" autoLine="0" autoPict="0">
                <anchor moveWithCells="1">
                  <from>
                    <xdr:col>7</xdr:col>
                    <xdr:colOff>542925</xdr:colOff>
                    <xdr:row>27</xdr:row>
                    <xdr:rowOff>28575</xdr:rowOff>
                  </from>
                  <to>
                    <xdr:col>7</xdr:col>
                    <xdr:colOff>819150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5" r:id="rId73" name="Check Box 217">
              <controlPr locked="0" defaultSize="0" autoFill="0" autoLine="0" autoPict="0">
                <anchor moveWithCells="1">
                  <from>
                    <xdr:col>7</xdr:col>
                    <xdr:colOff>533400</xdr:colOff>
                    <xdr:row>28</xdr:row>
                    <xdr:rowOff>9525</xdr:rowOff>
                  </from>
                  <to>
                    <xdr:col>7</xdr:col>
                    <xdr:colOff>838200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6" r:id="rId74" name="Check Box 218">
              <controlPr locked="0" defaultSize="0" autoFill="0" autoLine="0" autoPict="0">
                <anchor moveWithCells="1">
                  <from>
                    <xdr:col>7</xdr:col>
                    <xdr:colOff>542925</xdr:colOff>
                    <xdr:row>28</xdr:row>
                    <xdr:rowOff>180975</xdr:rowOff>
                  </from>
                  <to>
                    <xdr:col>7</xdr:col>
                    <xdr:colOff>876300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7" r:id="rId75" name="Check Box 219">
              <controlPr locked="0" defaultSize="0" autoFill="0" autoLine="0" autoPict="0">
                <anchor moveWithCells="1">
                  <from>
                    <xdr:col>7</xdr:col>
                    <xdr:colOff>542925</xdr:colOff>
                    <xdr:row>29</xdr:row>
                    <xdr:rowOff>180975</xdr:rowOff>
                  </from>
                  <to>
                    <xdr:col>7</xdr:col>
                    <xdr:colOff>876300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8" r:id="rId76" name="Check Box 220">
              <controlPr locked="0" defaultSize="0" autoFill="0" autoLine="0" autoPict="0">
                <anchor moveWithCells="1">
                  <from>
                    <xdr:col>7</xdr:col>
                    <xdr:colOff>542925</xdr:colOff>
                    <xdr:row>31</xdr:row>
                    <xdr:rowOff>9525</xdr:rowOff>
                  </from>
                  <to>
                    <xdr:col>7</xdr:col>
                    <xdr:colOff>876300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9" r:id="rId77" name="Check Box 221">
              <controlPr locked="0" defaultSize="0" autoFill="0" autoLine="0" autoPict="0">
                <anchor moveWithCells="1">
                  <from>
                    <xdr:col>7</xdr:col>
                    <xdr:colOff>542925</xdr:colOff>
                    <xdr:row>32</xdr:row>
                    <xdr:rowOff>0</xdr:rowOff>
                  </from>
                  <to>
                    <xdr:col>7</xdr:col>
                    <xdr:colOff>857250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0" r:id="rId78" name="Check Box 222">
              <controlPr locked="0" defaultSize="0" autoFill="0" autoLine="0" autoPict="0">
                <anchor moveWithCells="1">
                  <from>
                    <xdr:col>7</xdr:col>
                    <xdr:colOff>542925</xdr:colOff>
                    <xdr:row>32</xdr:row>
                    <xdr:rowOff>180975</xdr:rowOff>
                  </from>
                  <to>
                    <xdr:col>7</xdr:col>
                    <xdr:colOff>838200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1" r:id="rId79" name="Check Box 223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26</xdr:row>
                    <xdr:rowOff>180975</xdr:rowOff>
                  </from>
                  <to>
                    <xdr:col>8</xdr:col>
                    <xdr:colOff>819150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2" r:id="rId80" name="Check Box 224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28</xdr:row>
                    <xdr:rowOff>0</xdr:rowOff>
                  </from>
                  <to>
                    <xdr:col>8</xdr:col>
                    <xdr:colOff>819150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3" r:id="rId81" name="Check Box 225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28</xdr:row>
                    <xdr:rowOff>180975</xdr:rowOff>
                  </from>
                  <to>
                    <xdr:col>8</xdr:col>
                    <xdr:colOff>819150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4" r:id="rId82" name="Check Box 226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29</xdr:row>
                    <xdr:rowOff>180975</xdr:rowOff>
                  </from>
                  <to>
                    <xdr:col>8</xdr:col>
                    <xdr:colOff>819150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5" r:id="rId83" name="Check Box 227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30</xdr:row>
                    <xdr:rowOff>180975</xdr:rowOff>
                  </from>
                  <to>
                    <xdr:col>8</xdr:col>
                    <xdr:colOff>819150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6" r:id="rId84" name="Check Box 228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32</xdr:row>
                    <xdr:rowOff>19050</xdr:rowOff>
                  </from>
                  <to>
                    <xdr:col>8</xdr:col>
                    <xdr:colOff>819150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7" r:id="rId85" name="Check Box 229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33</xdr:row>
                    <xdr:rowOff>9525</xdr:rowOff>
                  </from>
                  <to>
                    <xdr:col>8</xdr:col>
                    <xdr:colOff>819150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8" r:id="rId86" name="Check Box 230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30</xdr:row>
                    <xdr:rowOff>0</xdr:rowOff>
                  </from>
                  <to>
                    <xdr:col>9</xdr:col>
                    <xdr:colOff>1304925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9" r:id="rId87" name="Check Box 231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27</xdr:row>
                    <xdr:rowOff>0</xdr:rowOff>
                  </from>
                  <to>
                    <xdr:col>9</xdr:col>
                    <xdr:colOff>1581150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0" r:id="rId88" name="Check Box 232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27</xdr:row>
                    <xdr:rowOff>180975</xdr:rowOff>
                  </from>
                  <to>
                    <xdr:col>9</xdr:col>
                    <xdr:colOff>1343025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1" r:id="rId89" name="Check Box 233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29</xdr:row>
                    <xdr:rowOff>9525</xdr:rowOff>
                  </from>
                  <to>
                    <xdr:col>9</xdr:col>
                    <xdr:colOff>1676400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2" r:id="rId90" name="Check Box 234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30</xdr:row>
                    <xdr:rowOff>180975</xdr:rowOff>
                  </from>
                  <to>
                    <xdr:col>9</xdr:col>
                    <xdr:colOff>1152525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3" r:id="rId91" name="Check Box 235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32</xdr:row>
                    <xdr:rowOff>0</xdr:rowOff>
                  </from>
                  <to>
                    <xdr:col>9</xdr:col>
                    <xdr:colOff>1485900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4" r:id="rId92" name="Check Box 236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33</xdr:row>
                    <xdr:rowOff>9525</xdr:rowOff>
                  </from>
                  <to>
                    <xdr:col>9</xdr:col>
                    <xdr:colOff>1247775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5" r:id="rId93" name="Check Box 237">
              <controlPr locked="0" defaultSize="0" autoFill="0" autoLine="0" autoPict="0">
                <anchor moveWithCells="1">
                  <from>
                    <xdr:col>7</xdr:col>
                    <xdr:colOff>542925</xdr:colOff>
                    <xdr:row>33</xdr:row>
                    <xdr:rowOff>161925</xdr:rowOff>
                  </from>
                  <to>
                    <xdr:col>7</xdr:col>
                    <xdr:colOff>838200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6" r:id="rId94" name="Check Box 238">
              <controlPr locked="0" defaultSize="0" autoFill="0" autoLine="0" autoPict="0">
                <anchor moveWithCells="1">
                  <from>
                    <xdr:col>8</xdr:col>
                    <xdr:colOff>352425</xdr:colOff>
                    <xdr:row>33</xdr:row>
                    <xdr:rowOff>180975</xdr:rowOff>
                  </from>
                  <to>
                    <xdr:col>8</xdr:col>
                    <xdr:colOff>819150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7" r:id="rId95" name="Check Box 239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33</xdr:row>
                    <xdr:rowOff>180975</xdr:rowOff>
                  </from>
                  <to>
                    <xdr:col>9</xdr:col>
                    <xdr:colOff>1200150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8" r:id="rId96" name="Check Box 240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4</xdr:row>
                    <xdr:rowOff>180975</xdr:rowOff>
                  </from>
                  <to>
                    <xdr:col>10</xdr:col>
                    <xdr:colOff>314325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9" r:id="rId97" name="Check Box 241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5</xdr:row>
                    <xdr:rowOff>180975</xdr:rowOff>
                  </from>
                  <to>
                    <xdr:col>10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0" r:id="rId98" name="Check Box 242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6</xdr:row>
                    <xdr:rowOff>180975</xdr:rowOff>
                  </from>
                  <to>
                    <xdr:col>10</xdr:col>
                    <xdr:colOff>314325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1" r:id="rId99" name="Check Box 243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7</xdr:row>
                    <xdr:rowOff>180975</xdr:rowOff>
                  </from>
                  <to>
                    <xdr:col>10</xdr:col>
                    <xdr:colOff>314325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2" r:id="rId100" name="Check Box 244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8</xdr:row>
                    <xdr:rowOff>180975</xdr:rowOff>
                  </from>
                  <to>
                    <xdr:col>10</xdr:col>
                    <xdr:colOff>314325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3" r:id="rId101" name="Check Box 245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9</xdr:row>
                    <xdr:rowOff>180975</xdr:rowOff>
                  </from>
                  <to>
                    <xdr:col>10</xdr:col>
                    <xdr:colOff>314325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4" r:id="rId102" name="Check Box 246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10</xdr:row>
                    <xdr:rowOff>180975</xdr:rowOff>
                  </from>
                  <to>
                    <xdr:col>10</xdr:col>
                    <xdr:colOff>314325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5" r:id="rId103" name="Check Box 247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11</xdr:row>
                    <xdr:rowOff>180975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6" r:id="rId104" name="Check Box 248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12</xdr:row>
                    <xdr:rowOff>180975</xdr:rowOff>
                  </from>
                  <to>
                    <xdr:col>10</xdr:col>
                    <xdr:colOff>314325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7" r:id="rId105" name="Check Box 249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13</xdr:row>
                    <xdr:rowOff>180975</xdr:rowOff>
                  </from>
                  <to>
                    <xdr:col>10</xdr:col>
                    <xdr:colOff>314325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8" r:id="rId106" name="Check Box 250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14</xdr:row>
                    <xdr:rowOff>180975</xdr:rowOff>
                  </from>
                  <to>
                    <xdr:col>10</xdr:col>
                    <xdr:colOff>314325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9" r:id="rId107" name="Check Box 251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15</xdr:row>
                    <xdr:rowOff>180975</xdr:rowOff>
                  </from>
                  <to>
                    <xdr:col>10</xdr:col>
                    <xdr:colOff>314325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0" r:id="rId108" name="Check Box 252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16</xdr:row>
                    <xdr:rowOff>180975</xdr:rowOff>
                  </from>
                  <to>
                    <xdr:col>10</xdr:col>
                    <xdr:colOff>314325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1" r:id="rId109" name="Check Box 253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17</xdr:row>
                    <xdr:rowOff>180975</xdr:rowOff>
                  </from>
                  <to>
                    <xdr:col>10</xdr:col>
                    <xdr:colOff>314325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2" r:id="rId110" name="Check Box 254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18</xdr:row>
                    <xdr:rowOff>180975</xdr:rowOff>
                  </from>
                  <to>
                    <xdr:col>10</xdr:col>
                    <xdr:colOff>314325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3" r:id="rId111" name="Check Box 255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19</xdr:row>
                    <xdr:rowOff>180975</xdr:rowOff>
                  </from>
                  <to>
                    <xdr:col>10</xdr:col>
                    <xdr:colOff>314325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4" r:id="rId112" name="Check Box 256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20</xdr:row>
                    <xdr:rowOff>180975</xdr:rowOff>
                  </from>
                  <to>
                    <xdr:col>10</xdr:col>
                    <xdr:colOff>314325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5" r:id="rId113" name="Check Box 257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21</xdr:row>
                    <xdr:rowOff>180975</xdr:rowOff>
                  </from>
                  <to>
                    <xdr:col>10</xdr:col>
                    <xdr:colOff>314325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6" r:id="rId114" name="Check Box 258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22</xdr:row>
                    <xdr:rowOff>180975</xdr:rowOff>
                  </from>
                  <to>
                    <xdr:col>10</xdr:col>
                    <xdr:colOff>314325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7" r:id="rId115" name="Check Box 259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23</xdr:row>
                    <xdr:rowOff>180975</xdr:rowOff>
                  </from>
                  <to>
                    <xdr:col>10</xdr:col>
                    <xdr:colOff>314325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8" r:id="rId116" name="Check Box 260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180975</xdr:rowOff>
                  </from>
                  <to>
                    <xdr:col>10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9" r:id="rId117" name="Check Box 261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25</xdr:row>
                    <xdr:rowOff>180975</xdr:rowOff>
                  </from>
                  <to>
                    <xdr:col>10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0" r:id="rId118" name="Check Box 262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26</xdr:row>
                    <xdr:rowOff>180975</xdr:rowOff>
                  </from>
                  <to>
                    <xdr:col>10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1" r:id="rId119" name="Check Box 263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27</xdr:row>
                    <xdr:rowOff>180975</xdr:rowOff>
                  </from>
                  <to>
                    <xdr:col>10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2" r:id="rId120" name="Check Box 264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28</xdr:row>
                    <xdr:rowOff>180975</xdr:rowOff>
                  </from>
                  <to>
                    <xdr:col>10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3" r:id="rId121" name="Check Box 265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29</xdr:row>
                    <xdr:rowOff>180975</xdr:rowOff>
                  </from>
                  <to>
                    <xdr:col>10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4" r:id="rId122" name="Check Box 266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30</xdr:row>
                    <xdr:rowOff>180975</xdr:rowOff>
                  </from>
                  <to>
                    <xdr:col>10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5" r:id="rId123" name="Check Box 267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31</xdr:row>
                    <xdr:rowOff>180975</xdr:rowOff>
                  </from>
                  <to>
                    <xdr:col>10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6" r:id="rId124" name="Check Box 268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32</xdr:row>
                    <xdr:rowOff>180975</xdr:rowOff>
                  </from>
                  <to>
                    <xdr:col>10</xdr:col>
                    <xdr:colOff>314325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7" r:id="rId125" name="Check Box 269">
              <controlPr locked="0" defaultSize="0" autoFill="0" autoLine="0" autoPict="0">
                <anchor moveWithCells="1">
                  <from>
                    <xdr:col>9</xdr:col>
                    <xdr:colOff>723900</xdr:colOff>
                    <xdr:row>33</xdr:row>
                    <xdr:rowOff>180975</xdr:rowOff>
                  </from>
                  <to>
                    <xdr:col>10</xdr:col>
                    <xdr:colOff>314325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8" r:id="rId126" name="Button 270">
              <controlPr defaultSize="0" print="0" autoFill="0" autoPict="0" macro="[0]!Button270_Click">
                <anchor moveWithCells="1" sizeWithCells="1">
                  <from>
                    <xdr:col>11</xdr:col>
                    <xdr:colOff>9525</xdr:colOff>
                    <xdr:row>0</xdr:row>
                    <xdr:rowOff>209550</xdr:rowOff>
                  </from>
                  <to>
                    <xdr:col>11</xdr:col>
                    <xdr:colOff>1466850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M55"/>
  <sheetViews>
    <sheetView workbookViewId="0">
      <selection activeCell="E4" sqref="E4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8" width="21.85546875" customWidth="1"/>
    <col min="9" max="9" width="26.85546875" customWidth="1"/>
    <col min="10" max="10" width="15.42578125" customWidth="1"/>
    <col min="11" max="11" width="13.140625" customWidth="1"/>
  </cols>
  <sheetData>
    <row r="1" spans="2:13" ht="23.25">
      <c r="B1" s="87" t="s">
        <v>274</v>
      </c>
    </row>
    <row r="4" spans="2:13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216</v>
      </c>
      <c r="I4" s="32" t="s">
        <v>217</v>
      </c>
      <c r="J4" s="88" t="s">
        <v>6</v>
      </c>
      <c r="K4" s="2"/>
    </row>
    <row r="5" spans="2:13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OFFSET(Members!E80,Members!$L$1,0)</f>
        <v>15</v>
      </c>
      <c r="G5" s="79">
        <f ca="1">OFFSET(Members!E41,Members!$L$1,0)</f>
        <v>20</v>
      </c>
      <c r="J5" s="79">
        <f ca="1">SUM(L5*'Price of Tickets'!$I$11,M5*'Price of Tickets'!$I$12+F5+G5)</f>
        <v>66</v>
      </c>
      <c r="L5" s="94" t="b">
        <v>1</v>
      </c>
      <c r="M5" s="94" t="b">
        <v>1</v>
      </c>
    </row>
    <row r="6" spans="2:13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OFFSET(Members!E81,Members!$L$1,0)</f>
        <v>5</v>
      </c>
      <c r="G6" s="79">
        <f ca="1">OFFSET(Members!E42,Members!$L$1,0)</f>
        <v>7.4</v>
      </c>
      <c r="J6" s="79">
        <f ca="1">SUM(L6*'Price of Tickets'!$I$107,M6*'Price of Tickets'!$I$107+F6+G6)</f>
        <v>28.250000000000004</v>
      </c>
      <c r="L6" s="94" t="b">
        <v>1</v>
      </c>
      <c r="M6" s="94" t="b">
        <v>1</v>
      </c>
    </row>
    <row r="7" spans="2:13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OFFSET(Members!E82,Members!$L$1,0)</f>
        <v>15</v>
      </c>
      <c r="G7" s="79">
        <f ca="1">OFFSET(Members!E43,Members!$L$1,0)</f>
        <v>20</v>
      </c>
      <c r="J7" s="79">
        <f ca="1">SUM(L7*'Price of Tickets'!$I$11,M7*'Price of Tickets'!$I$12+F7+G7)</f>
        <v>66</v>
      </c>
      <c r="L7" s="94" t="b">
        <v>1</v>
      </c>
      <c r="M7" s="94" t="b">
        <v>1</v>
      </c>
    </row>
    <row r="8" spans="2:13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OFFSET(Members!E83,Members!$L$1,0)</f>
        <v>7.5</v>
      </c>
      <c r="G8" s="79">
        <f ca="1">OFFSET(Members!E44,Members!$L$1,0)</f>
        <v>11</v>
      </c>
      <c r="J8" s="79">
        <f ca="1">SUM(L8*'Price of Tickets'!$H$70,M8*'Price of Tickets'!$H$71+F8+G8)</f>
        <v>44.363749999999996</v>
      </c>
      <c r="L8" s="94" t="b">
        <v>1</v>
      </c>
      <c r="M8" s="94" t="b">
        <v>1</v>
      </c>
    </row>
    <row r="9" spans="2:13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OFFSET(Members!E84,Members!$L$1,0)</f>
        <v>15</v>
      </c>
      <c r="G9" s="79">
        <f ca="1">OFFSET(Members!E45,Members!$L$1,0)</f>
        <v>20</v>
      </c>
      <c r="J9" s="79">
        <f ca="1">SUM(L9*'Price of Tickets'!$I$11,M9*'Price of Tickets'!$I$12+F9+G9)</f>
        <v>66</v>
      </c>
      <c r="L9" s="94" t="b">
        <v>1</v>
      </c>
      <c r="M9" s="94" t="b">
        <v>1</v>
      </c>
    </row>
    <row r="10" spans="2:13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OFFSET(Members!E85,Members!$L$1,0)</f>
        <v>5</v>
      </c>
      <c r="G10" s="79">
        <f ca="1">OFFSET(Members!E46,Members!$L$1,0)</f>
        <v>7.4</v>
      </c>
      <c r="J10" s="79">
        <f ca="1">SUM(L10*'Price of Tickets'!$I$107,M10*'Price of Tickets'!$I$107+F10+G10)</f>
        <v>28.250000000000004</v>
      </c>
      <c r="L10" s="94" t="b">
        <v>1</v>
      </c>
      <c r="M10" s="94" t="b">
        <v>1</v>
      </c>
    </row>
    <row r="11" spans="2:13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OFFSET(Members!E86,Members!$L$1,0)</f>
        <v>10</v>
      </c>
      <c r="G11" s="79">
        <f ca="1">OFFSET(Members!E47,Members!$L$1,0)</f>
        <v>14.5</v>
      </c>
      <c r="J11" s="79">
        <f ca="1">SUM(L11*'Price of Tickets'!$H$42,M11*'Price of Tickets'!$H$43+F11+G11)</f>
        <v>52.715000000000003</v>
      </c>
      <c r="L11" s="94" t="b">
        <v>1</v>
      </c>
      <c r="M11" s="94" t="b">
        <v>1</v>
      </c>
    </row>
    <row r="12" spans="2:13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OFFSET(Members!E87,Members!$L$1,0)</f>
        <v>10</v>
      </c>
      <c r="G12" s="79">
        <f ca="1">OFFSET(Members!E48,Members!$L$1,0)</f>
        <v>14.5</v>
      </c>
      <c r="J12" s="79">
        <f ca="1">SUM(L12*'Price of Tickets'!$H$42,M12*'Price of Tickets'!$H$43+F12+G12)</f>
        <v>52.715000000000003</v>
      </c>
      <c r="L12" s="94" t="b">
        <v>1</v>
      </c>
      <c r="M12" s="94" t="b">
        <v>1</v>
      </c>
    </row>
    <row r="13" spans="2:13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OFFSET(Members!E88,Members!$L$1,0)</f>
        <v>15</v>
      </c>
      <c r="G13" s="79">
        <f ca="1">OFFSET(Members!E49,Members!$L$1,0)</f>
        <v>20</v>
      </c>
      <c r="J13" s="79">
        <f ca="1">SUM(L13*'Price of Tickets'!$I$11,M13*'Price of Tickets'!$I$12+F13+G13)</f>
        <v>66</v>
      </c>
      <c r="L13" s="94" t="b">
        <v>1</v>
      </c>
      <c r="M13" s="94" t="b">
        <v>1</v>
      </c>
    </row>
    <row r="14" spans="2:13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OFFSET(Members!E89,Members!$L$1,0)</f>
        <v>15</v>
      </c>
      <c r="G14" s="79">
        <f ca="1">OFFSET(Members!E50,Members!$L$1,0)</f>
        <v>20</v>
      </c>
      <c r="J14" s="79">
        <f ca="1">SUM(L14*'Price of Tickets'!$I$11,M14*'Price of Tickets'!$I$12+F14+G14)</f>
        <v>66</v>
      </c>
      <c r="L14" s="94" t="b">
        <v>1</v>
      </c>
      <c r="M14" s="94" t="b">
        <v>1</v>
      </c>
    </row>
    <row r="15" spans="2:13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OFFSET(Members!E90,Members!$L$1,0)</f>
        <v>7.5</v>
      </c>
      <c r="G15" s="79">
        <f ca="1">OFFSET(Members!E51,Members!$L$1,0)</f>
        <v>11</v>
      </c>
      <c r="J15" s="79">
        <f ca="1">SUM(L15*'Price of Tickets'!$H$70,M15*'Price of Tickets'!$H$71+F15+G15)</f>
        <v>44.363749999999996</v>
      </c>
      <c r="L15" s="94" t="b">
        <v>1</v>
      </c>
      <c r="M15" s="94" t="b">
        <v>1</v>
      </c>
    </row>
    <row r="16" spans="2:13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OFFSET(Members!E91,Members!$L$1,0)</f>
        <v>15</v>
      </c>
      <c r="G16" s="79">
        <f ca="1">OFFSET(Members!E52,Members!$L$1,0)</f>
        <v>20</v>
      </c>
      <c r="J16" s="79">
        <f ca="1">SUM(L16*'Price of Tickets'!$I$11,M16*'Price of Tickets'!$I$12+F16+G16)</f>
        <v>66</v>
      </c>
      <c r="L16" s="94" t="b">
        <v>1</v>
      </c>
      <c r="M16" s="94" t="b">
        <v>1</v>
      </c>
    </row>
    <row r="17" spans="2:13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OFFSET(Members!E92,Members!$L$1,0)</f>
        <v>15</v>
      </c>
      <c r="G17" s="79">
        <f ca="1">OFFSET(Members!E53,Members!$L$1,0)</f>
        <v>20</v>
      </c>
      <c r="J17" s="79">
        <f ca="1">SUM(L17*'Price of Tickets'!$I$11,M17*'Price of Tickets'!$I$12+F17+G17)</f>
        <v>66</v>
      </c>
      <c r="L17" s="94" t="b">
        <v>1</v>
      </c>
      <c r="M17" s="94" t="b">
        <v>1</v>
      </c>
    </row>
    <row r="18" spans="2:13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OFFSET(Members!E93,Members!$L$1,0)</f>
        <v>15</v>
      </c>
      <c r="G18" s="79">
        <f ca="1">OFFSET(Members!E54,Members!$L$1,0)</f>
        <v>20</v>
      </c>
      <c r="J18" s="79">
        <f ca="1">SUM(L18*'Price of Tickets'!$I$11,M18*'Price of Tickets'!$I$12+F18+G18)</f>
        <v>66</v>
      </c>
      <c r="L18" s="94" t="b">
        <v>1</v>
      </c>
      <c r="M18" s="94" t="b">
        <v>1</v>
      </c>
    </row>
    <row r="19" spans="2:13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OFFSET(Members!E94,Members!$L$1,0)</f>
        <v>15</v>
      </c>
      <c r="G19" s="79">
        <f ca="1">OFFSET(Members!E55,Members!$L$1,0)</f>
        <v>20</v>
      </c>
      <c r="J19" s="79">
        <f ca="1">SUM(L19*'Price of Tickets'!$I$11,M19*'Price of Tickets'!$I$12+F19+G19)</f>
        <v>66</v>
      </c>
      <c r="L19" s="94" t="b">
        <v>1</v>
      </c>
      <c r="M19" s="94" t="b">
        <v>1</v>
      </c>
    </row>
    <row r="20" spans="2:13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OFFSET(Members!E95,Members!$L$1,0)</f>
        <v>7.5</v>
      </c>
      <c r="G20" s="79">
        <f ca="1">OFFSET(Members!E56,Members!$L$1,0)</f>
        <v>11</v>
      </c>
      <c r="J20" s="79">
        <f ca="1">SUM(L20*'Price of Tickets'!$H$70,M20*'Price of Tickets'!$H$71+F20+G20)</f>
        <v>44.363749999999996</v>
      </c>
      <c r="L20" s="94" t="b">
        <v>1</v>
      </c>
      <c r="M20" s="94" t="b">
        <v>1</v>
      </c>
    </row>
    <row r="21" spans="2:13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OFFSET(Members!E96,Members!$L$1,0)</f>
        <v>15</v>
      </c>
      <c r="G21" s="79">
        <f ca="1">OFFSET(Members!E57,Members!$L$1,0)</f>
        <v>20</v>
      </c>
      <c r="J21" s="79">
        <f ca="1">SUM(L21*'Price of Tickets'!$I$11,M21*'Price of Tickets'!$I$12+F21+G21)</f>
        <v>66</v>
      </c>
      <c r="L21" s="94" t="b">
        <v>1</v>
      </c>
      <c r="M21" s="94" t="b">
        <v>1</v>
      </c>
    </row>
    <row r="22" spans="2:13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OFFSET(Members!E97,Members!$L$1,0)</f>
        <v>7.5</v>
      </c>
      <c r="G22" s="79">
        <f ca="1">OFFSET(Members!E58,Members!$L$1,0)</f>
        <v>11</v>
      </c>
      <c r="J22" s="79">
        <f ca="1">SUM(L22*'Price of Tickets'!$H$70,M22*'Price of Tickets'!$H$71+F22+G22)</f>
        <v>44.363749999999996</v>
      </c>
      <c r="L22" s="94" t="b">
        <v>1</v>
      </c>
      <c r="M22" s="94" t="b">
        <v>1</v>
      </c>
    </row>
    <row r="23" spans="2:13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OFFSET(Members!E98,Members!$L$1,0)</f>
        <v>15</v>
      </c>
      <c r="G23" s="79">
        <f ca="1">OFFSET(Members!E59,Members!$L$1,0)</f>
        <v>20</v>
      </c>
      <c r="J23" s="79">
        <f ca="1">SUM(L23*'Price of Tickets'!$I$11,M23*'Price of Tickets'!$I$12+F23+G23)</f>
        <v>66</v>
      </c>
      <c r="L23" s="94" t="b">
        <v>1</v>
      </c>
      <c r="M23" s="94" t="b">
        <v>1</v>
      </c>
    </row>
    <row r="24" spans="2:13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OFFSET(Members!E99,Members!$L$1,0)</f>
        <v>10</v>
      </c>
      <c r="G24" s="79">
        <f ca="1">OFFSET(Members!E60,Members!$L$1,0)</f>
        <v>14.5</v>
      </c>
      <c r="J24" s="79">
        <f ca="1">SUM(L24*'Price of Tickets'!$H$42,M24*'Price of Tickets'!$H$43+F24+G24)</f>
        <v>52.715000000000003</v>
      </c>
      <c r="L24" s="94" t="b">
        <v>1</v>
      </c>
      <c r="M24" s="94" t="b">
        <v>1</v>
      </c>
    </row>
    <row r="25" spans="2:13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OFFSET(Members!E100,Members!$L$1,0)</f>
        <v>10</v>
      </c>
      <c r="G25" s="79">
        <f ca="1">OFFSET(Members!E61,Members!$L$1,0)</f>
        <v>14.5</v>
      </c>
      <c r="J25" s="79">
        <f ca="1">SUM(L25*'Price of Tickets'!$H$42,M25*'Price of Tickets'!$H$43+F25+G25)</f>
        <v>52.715000000000003</v>
      </c>
      <c r="L25" s="94" t="b">
        <v>1</v>
      </c>
      <c r="M25" s="94" t="b">
        <v>1</v>
      </c>
    </row>
    <row r="26" spans="2:13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OFFSET(Members!E101,Members!$L$1,0)</f>
        <v>15</v>
      </c>
      <c r="G26" s="79">
        <f ca="1">OFFSET(Members!E62,Members!$L$1,0)</f>
        <v>20</v>
      </c>
      <c r="J26" s="79">
        <f ca="1">SUM(L26*'Price of Tickets'!$I$11,M26*'Price of Tickets'!$I$12+F26+G26)</f>
        <v>66</v>
      </c>
      <c r="L26" s="94" t="b">
        <v>1</v>
      </c>
      <c r="M26" s="94" t="b">
        <v>1</v>
      </c>
    </row>
    <row r="27" spans="2:13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OFFSET(Members!E102,Members!$L$1,0)</f>
        <v>15</v>
      </c>
      <c r="G27" s="79">
        <f ca="1">OFFSET(Members!E63,Members!$L$1,0)</f>
        <v>20</v>
      </c>
      <c r="J27" s="79">
        <f ca="1">SUM(L27*'Price of Tickets'!$I$11,M27*'Price of Tickets'!$I$12+F27+G27)</f>
        <v>66</v>
      </c>
      <c r="L27" s="94" t="b">
        <v>1</v>
      </c>
      <c r="M27" s="94" t="b">
        <v>1</v>
      </c>
    </row>
    <row r="28" spans="2:13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OFFSET(Members!E103,Members!$L$1,0)</f>
        <v>10</v>
      </c>
      <c r="G28" s="79">
        <f ca="1">OFFSET(Members!E64,Members!$L$1,0)</f>
        <v>14.5</v>
      </c>
      <c r="J28" s="79">
        <f ca="1">SUM(L28*'Price of Tickets'!$H$42,M28*'Price of Tickets'!$H$43+F28+G28)</f>
        <v>52.715000000000003</v>
      </c>
      <c r="L28" s="94" t="b">
        <v>1</v>
      </c>
      <c r="M28" s="94" t="b">
        <v>1</v>
      </c>
    </row>
    <row r="29" spans="2:13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OFFSET(Members!E104,Members!$L$1,0)</f>
        <v>10</v>
      </c>
      <c r="G29" s="79">
        <f ca="1">OFFSET(Members!E65,Members!$L$1,0)</f>
        <v>14.5</v>
      </c>
      <c r="J29" s="79">
        <f ca="1">SUM(L29*'Price of Tickets'!$H$42,M29*'Price of Tickets'!$H$43+F29+G29)</f>
        <v>52.715000000000003</v>
      </c>
      <c r="L29" s="94" t="b">
        <v>1</v>
      </c>
      <c r="M29" s="94" t="b">
        <v>1</v>
      </c>
    </row>
    <row r="30" spans="2:13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OFFSET(Members!E105,Members!$L$1,0)</f>
        <v>15</v>
      </c>
      <c r="G30" s="79">
        <f ca="1">OFFSET(Members!E66,Members!$L$1,0)</f>
        <v>20</v>
      </c>
      <c r="J30" s="79">
        <f ca="1">SUM(L30*'Price of Tickets'!$I$11,M30*'Price of Tickets'!$I$12+F30+G30)</f>
        <v>66</v>
      </c>
      <c r="L30" s="94" t="b">
        <v>1</v>
      </c>
      <c r="M30" s="94" t="b">
        <v>1</v>
      </c>
    </row>
    <row r="31" spans="2:13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OFFSET(Members!E106,Members!$L$1,0)</f>
        <v>15</v>
      </c>
      <c r="G31" s="79">
        <f ca="1">OFFSET(Members!E67,Members!$L$1,0)</f>
        <v>20</v>
      </c>
      <c r="J31" s="79">
        <f ca="1">SUM(L31*'Price of Tickets'!$I$11,M31*'Price of Tickets'!$I$12+F31+G31)</f>
        <v>66</v>
      </c>
      <c r="L31" s="94" t="b">
        <v>1</v>
      </c>
      <c r="M31" s="94" t="b">
        <v>1</v>
      </c>
    </row>
    <row r="32" spans="2:13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OFFSET(Members!E107,Members!$L$1,0)</f>
        <v>15</v>
      </c>
      <c r="G32" s="79">
        <f ca="1">OFFSET(Members!E68,Members!$L$1,0)</f>
        <v>20</v>
      </c>
      <c r="J32" s="79">
        <f ca="1">SUM(L32*'Price of Tickets'!$I$11,M32*'Price of Tickets'!$I$12+F32+G32)</f>
        <v>66</v>
      </c>
      <c r="L32" s="94" t="b">
        <v>1</v>
      </c>
      <c r="M32" s="94" t="b">
        <v>1</v>
      </c>
    </row>
    <row r="33" spans="2:13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OFFSET(Members!E108,Members!$L$1,0)</f>
        <v>7.5</v>
      </c>
      <c r="G33" s="79">
        <f ca="1">OFFSET(Members!E69,Members!$L$1,0)</f>
        <v>11</v>
      </c>
      <c r="J33" s="79">
        <f ca="1">SUM(L33*'Price of Tickets'!$H$70,M33*'Price of Tickets'!$H$71+F33+G33)</f>
        <v>44.363749999999996</v>
      </c>
      <c r="L33" s="94" t="b">
        <v>1</v>
      </c>
      <c r="M33" s="94" t="b">
        <v>1</v>
      </c>
    </row>
    <row r="34" spans="2:13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OFFSET(Members!E109,Members!$L$1,0)</f>
        <v>7.5</v>
      </c>
      <c r="G34" s="79">
        <f ca="1">OFFSET(Members!E70,Members!$L$1,0)</f>
        <v>11</v>
      </c>
      <c r="J34" s="79">
        <f ca="1">SUM(L34*'Price of Tickets'!$H$70,M34*'Price of Tickets'!$H$71+F34+G34)</f>
        <v>44.363749999999996</v>
      </c>
      <c r="L34" s="94" t="b">
        <v>1</v>
      </c>
      <c r="M34" s="94" t="b">
        <v>1</v>
      </c>
    </row>
    <row r="35" spans="2:13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OFFSET(Members!E110,Members!$L$1,0)</f>
        <v>15</v>
      </c>
      <c r="G35" s="79">
        <f ca="1">OFFSET(Members!E71,Members!$L$1,0)</f>
        <v>20</v>
      </c>
      <c r="J35" s="79">
        <f ca="1">SUM(L35*'Price of Tickets'!$I$11,M35*'Price of Tickets'!$I$12+F35+G35)</f>
        <v>66</v>
      </c>
      <c r="L35" s="94" t="b">
        <v>1</v>
      </c>
      <c r="M35" s="94" t="b">
        <v>1</v>
      </c>
    </row>
    <row r="37" spans="2:13" ht="21">
      <c r="H37" s="102" t="s">
        <v>211</v>
      </c>
      <c r="J37" s="123">
        <f ca="1">SUM(J5:J35)</f>
        <v>1760.9724999999996</v>
      </c>
    </row>
    <row r="42" spans="2:13" ht="15.75" thickBot="1"/>
    <row r="43" spans="2:13" ht="16.5" thickTop="1" thickBot="1">
      <c r="B43" s="100" t="s">
        <v>284</v>
      </c>
      <c r="C43" s="99"/>
      <c r="D43" s="96" t="s">
        <v>285</v>
      </c>
      <c r="E43" s="97"/>
    </row>
    <row r="44" spans="2:13" ht="16.5" thickTop="1" thickBot="1">
      <c r="D44" s="96" t="s">
        <v>294</v>
      </c>
      <c r="E44" s="98" t="s">
        <v>301</v>
      </c>
    </row>
    <row r="45" spans="2:13" ht="16.5" thickTop="1" thickBot="1">
      <c r="D45" s="96" t="s">
        <v>288</v>
      </c>
      <c r="E45" s="97" t="s">
        <v>301</v>
      </c>
    </row>
    <row r="46" spans="2:13" ht="16.5" thickTop="1" thickBot="1">
      <c r="D46" s="96" t="s">
        <v>289</v>
      </c>
      <c r="E46" s="98"/>
    </row>
    <row r="47" spans="2:13" ht="16.5" thickTop="1" thickBot="1">
      <c r="D47" s="96" t="s">
        <v>290</v>
      </c>
      <c r="E47" s="98"/>
    </row>
    <row r="48" spans="2:13" ht="16.5" thickTop="1" thickBot="1">
      <c r="D48" s="96" t="s">
        <v>291</v>
      </c>
      <c r="E48" s="97" t="s">
        <v>301</v>
      </c>
    </row>
    <row r="49" spans="4:5" ht="16.5" thickTop="1" thickBot="1">
      <c r="D49" s="96" t="s">
        <v>295</v>
      </c>
      <c r="E49" s="97"/>
    </row>
    <row r="50" spans="4:5" ht="16.5" thickTop="1" thickBot="1">
      <c r="D50" s="96" t="s">
        <v>296</v>
      </c>
      <c r="E50" s="98"/>
    </row>
    <row r="51" spans="4:5" ht="16.5" thickTop="1" thickBot="1">
      <c r="D51" s="96" t="s">
        <v>297</v>
      </c>
      <c r="E51" s="98"/>
    </row>
    <row r="52" spans="4:5" ht="16.5" thickTop="1" thickBot="1">
      <c r="D52" s="96" t="s">
        <v>298</v>
      </c>
      <c r="E52" s="97" t="s">
        <v>301</v>
      </c>
    </row>
    <row r="53" spans="4:5" ht="16.5" thickTop="1" thickBot="1">
      <c r="D53" s="96" t="s">
        <v>299</v>
      </c>
      <c r="E53" s="97" t="s">
        <v>301</v>
      </c>
    </row>
    <row r="54" spans="4:5" ht="16.5" thickTop="1" thickBot="1">
      <c r="D54" s="96" t="s">
        <v>300</v>
      </c>
      <c r="E54" s="98"/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3" name="Check Box 2">
              <controlPr defaultSize="0" autoFill="0" autoLine="0" autoPict="0">
                <anchor moveWithCells="1">
                  <from>
                    <xdr:col>7</xdr:col>
                    <xdr:colOff>552450</xdr:colOff>
                    <xdr:row>6</xdr:row>
                    <xdr:rowOff>180975</xdr:rowOff>
                  </from>
                  <to>
                    <xdr:col>7</xdr:col>
                    <xdr:colOff>942975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4" name="Check Box 3">
              <controlPr defaultSize="0" autoFill="0" autoLine="0" autoPict="0">
                <anchor moveWithCells="1">
                  <from>
                    <xdr:col>7</xdr:col>
                    <xdr:colOff>552450</xdr:colOff>
                    <xdr:row>7</xdr:row>
                    <xdr:rowOff>180975</xdr:rowOff>
                  </from>
                  <to>
                    <xdr:col>7</xdr:col>
                    <xdr:colOff>866775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5" name="Check Box 4">
              <controlPr defaultSize="0" autoFill="0" autoLine="0" autoPict="0">
                <anchor moveWithCells="1">
                  <from>
                    <xdr:col>7</xdr:col>
                    <xdr:colOff>552450</xdr:colOff>
                    <xdr:row>8</xdr:row>
                    <xdr:rowOff>180975</xdr:rowOff>
                  </from>
                  <to>
                    <xdr:col>7</xdr:col>
                    <xdr:colOff>866775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6" name="Check Box 5">
              <controlPr defaultSize="0" autoFill="0" autoLine="0" autoPict="0">
                <anchor moveWithCells="1">
                  <from>
                    <xdr:col>7</xdr:col>
                    <xdr:colOff>552450</xdr:colOff>
                    <xdr:row>9</xdr:row>
                    <xdr:rowOff>152400</xdr:rowOff>
                  </from>
                  <to>
                    <xdr:col>7</xdr:col>
                    <xdr:colOff>866775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7" name="Check Box 6">
              <controlPr defaultSize="0" autoFill="0" autoLine="0" autoPict="0">
                <anchor moveWithCells="1">
                  <from>
                    <xdr:col>7</xdr:col>
                    <xdr:colOff>552450</xdr:colOff>
                    <xdr:row>10</xdr:row>
                    <xdr:rowOff>152400</xdr:rowOff>
                  </from>
                  <to>
                    <xdr:col>7</xdr:col>
                    <xdr:colOff>885825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8" name="Check Box 7">
              <controlPr defaultSize="0" autoFill="0" autoLine="0" autoPict="0">
                <anchor moveWithCells="1">
                  <from>
                    <xdr:col>7</xdr:col>
                    <xdr:colOff>552450</xdr:colOff>
                    <xdr:row>11</xdr:row>
                    <xdr:rowOff>161925</xdr:rowOff>
                  </from>
                  <to>
                    <xdr:col>7</xdr:col>
                    <xdr:colOff>895350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9" name="Check Box 8">
              <controlPr defaultSize="0" autoFill="0" autoLine="0" autoPict="0">
                <anchor moveWithCells="1">
                  <from>
                    <xdr:col>7</xdr:col>
                    <xdr:colOff>552450</xdr:colOff>
                    <xdr:row>12</xdr:row>
                    <xdr:rowOff>180975</xdr:rowOff>
                  </from>
                  <to>
                    <xdr:col>7</xdr:col>
                    <xdr:colOff>857250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0" name="Check Box 9">
              <controlPr defaultSize="0" autoFill="0" autoLine="0" autoPict="0">
                <anchor moveWithCells="1">
                  <from>
                    <xdr:col>7</xdr:col>
                    <xdr:colOff>552450</xdr:colOff>
                    <xdr:row>13</xdr:row>
                    <xdr:rowOff>171450</xdr:rowOff>
                  </from>
                  <to>
                    <xdr:col>7</xdr:col>
                    <xdr:colOff>866775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1" name="Check Box 10">
              <controlPr defaultSize="0" autoFill="0" autoLine="0" autoPict="0">
                <anchor moveWithCells="1">
                  <from>
                    <xdr:col>7</xdr:col>
                    <xdr:colOff>552450</xdr:colOff>
                    <xdr:row>14</xdr:row>
                    <xdr:rowOff>161925</xdr:rowOff>
                  </from>
                  <to>
                    <xdr:col>8</xdr:col>
                    <xdr:colOff>447675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2" name="Check Box 11">
              <controlPr defaultSize="0" autoFill="0" autoLine="0" autoPict="0">
                <anchor moveWithCells="1">
                  <from>
                    <xdr:col>7</xdr:col>
                    <xdr:colOff>552450</xdr:colOff>
                    <xdr:row>16</xdr:row>
                    <xdr:rowOff>0</xdr:rowOff>
                  </from>
                  <to>
                    <xdr:col>7</xdr:col>
                    <xdr:colOff>885825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3" name="Check Box 12">
              <controlPr defaultSize="0" autoFill="0" autoLine="0" autoPict="0">
                <anchor moveWithCells="1">
                  <from>
                    <xdr:col>7</xdr:col>
                    <xdr:colOff>552450</xdr:colOff>
                    <xdr:row>16</xdr:row>
                    <xdr:rowOff>180975</xdr:rowOff>
                  </from>
                  <to>
                    <xdr:col>7</xdr:col>
                    <xdr:colOff>914400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4" name="Check Box 13">
              <controlPr defaultSize="0" autoFill="0" autoLine="0" autoPict="0">
                <anchor moveWithCells="1">
                  <from>
                    <xdr:col>7</xdr:col>
                    <xdr:colOff>552450</xdr:colOff>
                    <xdr:row>17</xdr:row>
                    <xdr:rowOff>171450</xdr:rowOff>
                  </from>
                  <to>
                    <xdr:col>7</xdr:col>
                    <xdr:colOff>885825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5" name="Check Box 14">
              <controlPr defaultSize="0" autoFill="0" autoLine="0" autoPict="0">
                <anchor moveWithCells="1">
                  <from>
                    <xdr:col>7</xdr:col>
                    <xdr:colOff>552450</xdr:colOff>
                    <xdr:row>18</xdr:row>
                    <xdr:rowOff>180975</xdr:rowOff>
                  </from>
                  <to>
                    <xdr:col>7</xdr:col>
                    <xdr:colOff>857250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6" name="Check Box 15">
              <controlPr defaultSize="0" autoFill="0" autoLine="0" autoPict="0">
                <anchor moveWithCells="1">
                  <from>
                    <xdr:col>7</xdr:col>
                    <xdr:colOff>552450</xdr:colOff>
                    <xdr:row>20</xdr:row>
                    <xdr:rowOff>9525</xdr:rowOff>
                  </from>
                  <to>
                    <xdr:col>7</xdr:col>
                    <xdr:colOff>828675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7" name="Check Box 16">
              <controlPr defaultSize="0" autoFill="0" autoLine="0" autoPict="0">
                <anchor moveWithCells="1">
                  <from>
                    <xdr:col>7</xdr:col>
                    <xdr:colOff>552450</xdr:colOff>
                    <xdr:row>20</xdr:row>
                    <xdr:rowOff>161925</xdr:rowOff>
                  </from>
                  <to>
                    <xdr:col>7</xdr:col>
                    <xdr:colOff>857250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8" name="Check Box 17">
              <controlPr defaultSize="0" autoFill="0" autoLine="0" autoPict="0">
                <anchor moveWithCells="1">
                  <from>
                    <xdr:col>7</xdr:col>
                    <xdr:colOff>552450</xdr:colOff>
                    <xdr:row>21</xdr:row>
                    <xdr:rowOff>161925</xdr:rowOff>
                  </from>
                  <to>
                    <xdr:col>7</xdr:col>
                    <xdr:colOff>885825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9" name="Check Box 18">
              <controlPr defaultSize="0" autoFill="0" autoLine="0" autoPict="0">
                <anchor moveWithCells="1">
                  <from>
                    <xdr:col>7</xdr:col>
                    <xdr:colOff>552450</xdr:colOff>
                    <xdr:row>22</xdr:row>
                    <xdr:rowOff>161925</xdr:rowOff>
                  </from>
                  <to>
                    <xdr:col>7</xdr:col>
                    <xdr:colOff>885825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0" name="Check Box 19">
              <controlPr defaultSize="0" autoFill="0" autoLine="0" autoPict="0">
                <anchor moveWithCells="1">
                  <from>
                    <xdr:col>7</xdr:col>
                    <xdr:colOff>552450</xdr:colOff>
                    <xdr:row>23</xdr:row>
                    <xdr:rowOff>180975</xdr:rowOff>
                  </from>
                  <to>
                    <xdr:col>7</xdr:col>
                    <xdr:colOff>885825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1" name="Check Box 20">
              <controlPr defaultSize="0" autoFill="0" autoLine="0" autoPict="0">
                <anchor moveWithCells="1">
                  <from>
                    <xdr:col>7</xdr:col>
                    <xdr:colOff>552450</xdr:colOff>
                    <xdr:row>24</xdr:row>
                    <xdr:rowOff>171450</xdr:rowOff>
                  </from>
                  <to>
                    <xdr:col>7</xdr:col>
                    <xdr:colOff>866775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2" name="Check Box 21">
              <controlPr defaultSize="0" autoFill="0" autoLine="0" autoPict="0">
                <anchor moveWithCells="1">
                  <from>
                    <xdr:col>7</xdr:col>
                    <xdr:colOff>552450</xdr:colOff>
                    <xdr:row>25</xdr:row>
                    <xdr:rowOff>180975</xdr:rowOff>
                  </from>
                  <to>
                    <xdr:col>7</xdr:col>
                    <xdr:colOff>847725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3" name="Check Box 22">
              <controlPr defaultSize="0" autoFill="0" autoLine="0" autoPict="0">
                <anchor moveWithCells="1">
                  <from>
                    <xdr:col>7</xdr:col>
                    <xdr:colOff>552450</xdr:colOff>
                    <xdr:row>5</xdr:row>
                    <xdr:rowOff>180975</xdr:rowOff>
                  </from>
                  <to>
                    <xdr:col>7</xdr:col>
                    <xdr:colOff>981075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4" name="Check Box 23">
              <controlPr defaultSize="0" autoFill="0" autoLine="0" autoPict="0">
                <anchor moveWithCells="1">
                  <from>
                    <xdr:col>7</xdr:col>
                    <xdr:colOff>552450</xdr:colOff>
                    <xdr:row>4</xdr:row>
                    <xdr:rowOff>161925</xdr:rowOff>
                  </from>
                  <to>
                    <xdr:col>7</xdr:col>
                    <xdr:colOff>952500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5" name="Check Box 24">
              <controlPr defaultSize="0" autoFill="0" autoLine="0" autoPict="0">
                <anchor moveWithCells="1">
                  <from>
                    <xdr:col>8</xdr:col>
                    <xdr:colOff>695325</xdr:colOff>
                    <xdr:row>5</xdr:row>
                    <xdr:rowOff>171450</xdr:rowOff>
                  </from>
                  <to>
                    <xdr:col>8</xdr:col>
                    <xdr:colOff>1162050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6" name="Check Box 25">
              <controlPr defaultSize="0" autoFill="0" autoLine="0" autoPict="0">
                <anchor moveWithCells="1">
                  <from>
                    <xdr:col>8</xdr:col>
                    <xdr:colOff>695325</xdr:colOff>
                    <xdr:row>6</xdr:row>
                    <xdr:rowOff>180975</xdr:rowOff>
                  </from>
                  <to>
                    <xdr:col>8</xdr:col>
                    <xdr:colOff>1162050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7" name="Check Box 26">
              <controlPr defaultSize="0" autoFill="0" autoLine="0" autoPict="0">
                <anchor moveWithCells="1">
                  <from>
                    <xdr:col>8</xdr:col>
                    <xdr:colOff>695325</xdr:colOff>
                    <xdr:row>7</xdr:row>
                    <xdr:rowOff>171450</xdr:rowOff>
                  </from>
                  <to>
                    <xdr:col>8</xdr:col>
                    <xdr:colOff>1162050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28" name="Check Box 27">
              <controlPr defaultSize="0" autoFill="0" autoLine="0" autoPict="0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8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29" name="Check Box 28">
              <controlPr defaultSize="0" autoFill="0" autoLine="0" autoPict="0">
                <anchor moveWithCells="1">
                  <from>
                    <xdr:col>8</xdr:col>
                    <xdr:colOff>695325</xdr:colOff>
                    <xdr:row>10</xdr:row>
                    <xdr:rowOff>180975</xdr:rowOff>
                  </from>
                  <to>
                    <xdr:col>8</xdr:col>
                    <xdr:colOff>1162050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0" name="Check Box 29">
              <controlPr defaultSize="0" autoFill="0" autoLine="0" autoPict="0">
                <anchor moveWithCells="1">
                  <from>
                    <xdr:col>8</xdr:col>
                    <xdr:colOff>695325</xdr:colOff>
                    <xdr:row>11</xdr:row>
                    <xdr:rowOff>180975</xdr:rowOff>
                  </from>
                  <to>
                    <xdr:col>8</xdr:col>
                    <xdr:colOff>1162050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1" name="Check Box 30">
              <controlPr defaultSize="0" autoFill="0" autoLine="0" autoPict="0">
                <anchor moveWithCells="1">
                  <from>
                    <xdr:col>8</xdr:col>
                    <xdr:colOff>695325</xdr:colOff>
                    <xdr:row>12</xdr:row>
                    <xdr:rowOff>171450</xdr:rowOff>
                  </from>
                  <to>
                    <xdr:col>8</xdr:col>
                    <xdr:colOff>1162050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2" name="Check Box 31">
              <controlPr defaultSize="0" autoFill="0" autoLine="0" autoPict="0">
                <anchor moveWithCells="1">
                  <from>
                    <xdr:col>8</xdr:col>
                    <xdr:colOff>695325</xdr:colOff>
                    <xdr:row>13</xdr:row>
                    <xdr:rowOff>180975</xdr:rowOff>
                  </from>
                  <to>
                    <xdr:col>8</xdr:col>
                    <xdr:colOff>1162050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3" name="Check Box 32">
              <controlPr defaultSize="0" autoFill="0" autoLine="0" autoPict="0">
                <anchor moveWithCells="1">
                  <from>
                    <xdr:col>8</xdr:col>
                    <xdr:colOff>695325</xdr:colOff>
                    <xdr:row>14</xdr:row>
                    <xdr:rowOff>161925</xdr:rowOff>
                  </from>
                  <to>
                    <xdr:col>8</xdr:col>
                    <xdr:colOff>1162050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4" name="Check Box 33">
              <controlPr defaultSize="0" autoFill="0" autoLine="0" autoPict="0">
                <anchor moveWithCells="1">
                  <from>
                    <xdr:col>8</xdr:col>
                    <xdr:colOff>695325</xdr:colOff>
                    <xdr:row>15</xdr:row>
                    <xdr:rowOff>161925</xdr:rowOff>
                  </from>
                  <to>
                    <xdr:col>8</xdr:col>
                    <xdr:colOff>1162050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5" name="Check Box 34">
              <controlPr defaultSize="0" autoFill="0" autoLine="0" autoPict="0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8</xdr:col>
                    <xdr:colOff>1162050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6" name="Check Box 35">
              <controlPr defaultSize="0" autoFill="0" autoLine="0" autoPict="0">
                <anchor moveWithCells="1">
                  <from>
                    <xdr:col>8</xdr:col>
                    <xdr:colOff>695325</xdr:colOff>
                    <xdr:row>17</xdr:row>
                    <xdr:rowOff>180975</xdr:rowOff>
                  </from>
                  <to>
                    <xdr:col>8</xdr:col>
                    <xdr:colOff>1162050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7" name="Check Box 36">
              <controlPr defaultSize="0" autoFill="0" autoLine="0" autoPict="0">
                <anchor moveWithCells="1">
                  <from>
                    <xdr:col>8</xdr:col>
                    <xdr:colOff>695325</xdr:colOff>
                    <xdr:row>18</xdr:row>
                    <xdr:rowOff>171450</xdr:rowOff>
                  </from>
                  <to>
                    <xdr:col>8</xdr:col>
                    <xdr:colOff>1162050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38" name="Check Box 37">
              <controlPr defaultSize="0" autoFill="0" autoLine="0" autoPict="0">
                <anchor moveWithCells="1">
                  <from>
                    <xdr:col>8</xdr:col>
                    <xdr:colOff>695325</xdr:colOff>
                    <xdr:row>19</xdr:row>
                    <xdr:rowOff>161925</xdr:rowOff>
                  </from>
                  <to>
                    <xdr:col>8</xdr:col>
                    <xdr:colOff>1162050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39" name="Check Box 38">
              <controlPr defaultSize="0" autoFill="0" autoLine="0" autoPict="0">
                <anchor moveWithCells="1">
                  <from>
                    <xdr:col>8</xdr:col>
                    <xdr:colOff>695325</xdr:colOff>
                    <xdr:row>20</xdr:row>
                    <xdr:rowOff>171450</xdr:rowOff>
                  </from>
                  <to>
                    <xdr:col>8</xdr:col>
                    <xdr:colOff>1162050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0" name="Check Box 39">
              <controlPr defaultSize="0" autoFill="0" autoLine="0" autoPict="0">
                <anchor moveWithCells="1">
                  <from>
                    <xdr:col>8</xdr:col>
                    <xdr:colOff>695325</xdr:colOff>
                    <xdr:row>21</xdr:row>
                    <xdr:rowOff>161925</xdr:rowOff>
                  </from>
                  <to>
                    <xdr:col>8</xdr:col>
                    <xdr:colOff>1162050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1" name="Check Box 40">
              <controlPr defaultSize="0" autoFill="0" autoLine="0" autoPict="0">
                <anchor moveWithCells="1">
                  <from>
                    <xdr:col>8</xdr:col>
                    <xdr:colOff>695325</xdr:colOff>
                    <xdr:row>22</xdr:row>
                    <xdr:rowOff>161925</xdr:rowOff>
                  </from>
                  <to>
                    <xdr:col>8</xdr:col>
                    <xdr:colOff>1162050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2" name="Check Box 41">
              <controlPr defaultSize="0" autoFill="0" autoLine="0" autoPict="0">
                <anchor moveWithCells="1">
                  <from>
                    <xdr:col>8</xdr:col>
                    <xdr:colOff>695325</xdr:colOff>
                    <xdr:row>23</xdr:row>
                    <xdr:rowOff>161925</xdr:rowOff>
                  </from>
                  <to>
                    <xdr:col>8</xdr:col>
                    <xdr:colOff>1162050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3" name="Check Box 42">
              <controlPr defaultSize="0" autoFill="0" autoLine="0" autoPict="0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8</xdr:col>
                    <xdr:colOff>1162050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4" name="Check Box 43">
              <controlPr defaultSize="0" autoFill="0" autoLine="0" autoPict="0">
                <anchor moveWithCells="1">
                  <from>
                    <xdr:col>8</xdr:col>
                    <xdr:colOff>695325</xdr:colOff>
                    <xdr:row>26</xdr:row>
                    <xdr:rowOff>9525</xdr:rowOff>
                  </from>
                  <to>
                    <xdr:col>8</xdr:col>
                    <xdr:colOff>1162050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5" name="Check Box 44">
              <controlPr defaultSize="0" autoFill="0" autoLine="0" autoPict="0">
                <anchor moveWithCells="1">
                  <from>
                    <xdr:col>8</xdr:col>
                    <xdr:colOff>695325</xdr:colOff>
                    <xdr:row>4</xdr:row>
                    <xdr:rowOff>171450</xdr:rowOff>
                  </from>
                  <to>
                    <xdr:col>8</xdr:col>
                    <xdr:colOff>1209675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6" name="Check Box 45">
              <controlPr defaultSize="0" autoFill="0" autoLine="0" autoPict="0">
                <anchor moveWithCells="1">
                  <from>
                    <xdr:col>8</xdr:col>
                    <xdr:colOff>704850</xdr:colOff>
                    <xdr:row>3</xdr:row>
                    <xdr:rowOff>161925</xdr:rowOff>
                  </from>
                  <to>
                    <xdr:col>8</xdr:col>
                    <xdr:colOff>1343025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47" name="Check Box 68">
              <controlPr defaultSize="0" autoFill="0" autoLine="0" autoPict="0">
                <anchor moveWithCells="1">
                  <from>
                    <xdr:col>7</xdr:col>
                    <xdr:colOff>552450</xdr:colOff>
                    <xdr:row>3</xdr:row>
                    <xdr:rowOff>161925</xdr:rowOff>
                  </from>
                  <to>
                    <xdr:col>7</xdr:col>
                    <xdr:colOff>952500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48" name="Check Box 69">
              <controlPr defaultSize="0" autoFill="0" autoLine="0" autoPict="0">
                <anchor moveWithCells="1">
                  <from>
                    <xdr:col>8</xdr:col>
                    <xdr:colOff>695325</xdr:colOff>
                    <xdr:row>9</xdr:row>
                    <xdr:rowOff>171450</xdr:rowOff>
                  </from>
                  <to>
                    <xdr:col>8</xdr:col>
                    <xdr:colOff>1162050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49" name="Check Box 71">
              <controlPr defaultSize="0" autoFill="0" autoLine="0" autoPict="0">
                <anchor moveWithCells="1">
                  <from>
                    <xdr:col>7</xdr:col>
                    <xdr:colOff>542925</xdr:colOff>
                    <xdr:row>27</xdr:row>
                    <xdr:rowOff>28575</xdr:rowOff>
                  </from>
                  <to>
                    <xdr:col>7</xdr:col>
                    <xdr:colOff>819150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50" name="Check Box 72">
              <controlPr defaultSize="0" autoFill="0" autoLine="0" autoPict="0">
                <anchor moveWithCells="1">
                  <from>
                    <xdr:col>7</xdr:col>
                    <xdr:colOff>533400</xdr:colOff>
                    <xdr:row>28</xdr:row>
                    <xdr:rowOff>9525</xdr:rowOff>
                  </from>
                  <to>
                    <xdr:col>7</xdr:col>
                    <xdr:colOff>838200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51" name="Check Box 73">
              <controlPr defaultSize="0" autoFill="0" autoLine="0" autoPict="0">
                <anchor moveWithCells="1">
                  <from>
                    <xdr:col>7</xdr:col>
                    <xdr:colOff>542925</xdr:colOff>
                    <xdr:row>28</xdr:row>
                    <xdr:rowOff>180975</xdr:rowOff>
                  </from>
                  <to>
                    <xdr:col>7</xdr:col>
                    <xdr:colOff>876300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52" name="Check Box 74">
              <controlPr defaultSize="0" autoFill="0" autoLine="0" autoPict="0">
                <anchor moveWithCells="1">
                  <from>
                    <xdr:col>7</xdr:col>
                    <xdr:colOff>542925</xdr:colOff>
                    <xdr:row>29</xdr:row>
                    <xdr:rowOff>180975</xdr:rowOff>
                  </from>
                  <to>
                    <xdr:col>7</xdr:col>
                    <xdr:colOff>876300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53" name="Check Box 75">
              <controlPr defaultSize="0" autoFill="0" autoLine="0" autoPict="0">
                <anchor moveWithCells="1">
                  <from>
                    <xdr:col>7</xdr:col>
                    <xdr:colOff>542925</xdr:colOff>
                    <xdr:row>31</xdr:row>
                    <xdr:rowOff>9525</xdr:rowOff>
                  </from>
                  <to>
                    <xdr:col>7</xdr:col>
                    <xdr:colOff>876300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8" r:id="rId54" name="Check Box 76">
              <controlPr defaultSize="0" autoFill="0" autoLine="0" autoPict="0">
                <anchor moveWithCells="1">
                  <from>
                    <xdr:col>7</xdr:col>
                    <xdr:colOff>542925</xdr:colOff>
                    <xdr:row>32</xdr:row>
                    <xdr:rowOff>0</xdr:rowOff>
                  </from>
                  <to>
                    <xdr:col>7</xdr:col>
                    <xdr:colOff>857250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9" r:id="rId55" name="Check Box 77">
              <controlPr defaultSize="0" autoFill="0" autoLine="0" autoPict="0">
                <anchor moveWithCells="1">
                  <from>
                    <xdr:col>7</xdr:col>
                    <xdr:colOff>542925</xdr:colOff>
                    <xdr:row>32</xdr:row>
                    <xdr:rowOff>180975</xdr:rowOff>
                  </from>
                  <to>
                    <xdr:col>7</xdr:col>
                    <xdr:colOff>838200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0" r:id="rId56" name="Check Box 78">
              <controlPr defaultSize="0" autoFill="0" autoLine="0" autoPict="0">
                <anchor moveWithCells="1">
                  <from>
                    <xdr:col>8</xdr:col>
                    <xdr:colOff>685800</xdr:colOff>
                    <xdr:row>26</xdr:row>
                    <xdr:rowOff>180975</xdr:rowOff>
                  </from>
                  <to>
                    <xdr:col>8</xdr:col>
                    <xdr:colOff>1152525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1" r:id="rId57" name="Check Box 79">
              <controlPr defaultSize="0" autoFill="0" autoLine="0" autoPict="0">
                <anchor moveWithCells="1">
                  <from>
                    <xdr:col>8</xdr:col>
                    <xdr:colOff>685800</xdr:colOff>
                    <xdr:row>28</xdr:row>
                    <xdr:rowOff>0</xdr:rowOff>
                  </from>
                  <to>
                    <xdr:col>8</xdr:col>
                    <xdr:colOff>1152525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2" r:id="rId58" name="Check Box 80">
              <controlPr defaultSize="0" autoFill="0" autoLine="0" autoPict="0">
                <anchor moveWithCells="1">
                  <from>
                    <xdr:col>8</xdr:col>
                    <xdr:colOff>685800</xdr:colOff>
                    <xdr:row>28</xdr:row>
                    <xdr:rowOff>180975</xdr:rowOff>
                  </from>
                  <to>
                    <xdr:col>8</xdr:col>
                    <xdr:colOff>1152525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3" r:id="rId59" name="Check Box 81">
              <controlPr defaultSize="0" autoFill="0" autoLine="0" autoPict="0">
                <anchor moveWithCells="1">
                  <from>
                    <xdr:col>8</xdr:col>
                    <xdr:colOff>685800</xdr:colOff>
                    <xdr:row>29</xdr:row>
                    <xdr:rowOff>180975</xdr:rowOff>
                  </from>
                  <to>
                    <xdr:col>8</xdr:col>
                    <xdr:colOff>1152525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4" r:id="rId60" name="Check Box 82">
              <controlPr defaultSize="0" autoFill="0" autoLine="0" autoPict="0">
                <anchor moveWithCells="1">
                  <from>
                    <xdr:col>8</xdr:col>
                    <xdr:colOff>685800</xdr:colOff>
                    <xdr:row>30</xdr:row>
                    <xdr:rowOff>180975</xdr:rowOff>
                  </from>
                  <to>
                    <xdr:col>8</xdr:col>
                    <xdr:colOff>1152525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5" r:id="rId61" name="Check Box 83">
              <controlPr defaultSize="0" autoFill="0" autoLine="0" autoPict="0">
                <anchor moveWithCells="1">
                  <from>
                    <xdr:col>8</xdr:col>
                    <xdr:colOff>685800</xdr:colOff>
                    <xdr:row>32</xdr:row>
                    <xdr:rowOff>0</xdr:rowOff>
                  </from>
                  <to>
                    <xdr:col>8</xdr:col>
                    <xdr:colOff>1152525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6" r:id="rId62" name="Check Box 84">
              <controlPr defaultSize="0" autoFill="0" autoLine="0" autoPict="0">
                <anchor moveWithCells="1">
                  <from>
                    <xdr:col>8</xdr:col>
                    <xdr:colOff>685800</xdr:colOff>
                    <xdr:row>33</xdr:row>
                    <xdr:rowOff>9525</xdr:rowOff>
                  </from>
                  <to>
                    <xdr:col>8</xdr:col>
                    <xdr:colOff>1152525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4" r:id="rId63" name="Check Box 92">
              <controlPr defaultSize="0" autoFill="0" autoLine="0" autoPict="0">
                <anchor moveWithCells="1">
                  <from>
                    <xdr:col>7</xdr:col>
                    <xdr:colOff>542925</xdr:colOff>
                    <xdr:row>33</xdr:row>
                    <xdr:rowOff>161925</xdr:rowOff>
                  </from>
                  <to>
                    <xdr:col>7</xdr:col>
                    <xdr:colOff>838200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5" r:id="rId64" name="Check Box 93">
              <controlPr defaultSize="0" autoFill="0" autoLine="0" autoPict="0">
                <anchor moveWithCells="1">
                  <from>
                    <xdr:col>8</xdr:col>
                    <xdr:colOff>685800</xdr:colOff>
                    <xdr:row>33</xdr:row>
                    <xdr:rowOff>180975</xdr:rowOff>
                  </from>
                  <to>
                    <xdr:col>8</xdr:col>
                    <xdr:colOff>1152525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6" r:id="rId65" name="Button 94">
              <controlPr defaultSize="0" print="0" autoFill="0" autoPict="0" macro="[0]!Button94_Click">
                <anchor moveWithCells="1" sizeWithCells="1">
                  <from>
                    <xdr:col>10</xdr:col>
                    <xdr:colOff>123825</xdr:colOff>
                    <xdr:row>0</xdr:row>
                    <xdr:rowOff>238125</xdr:rowOff>
                  </from>
                  <to>
                    <xdr:col>11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P55"/>
  <sheetViews>
    <sheetView workbookViewId="0">
      <selection activeCell="E4" sqref="E4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9" width="24.42578125" customWidth="1"/>
    <col min="10" max="10" width="18.28515625" customWidth="1"/>
    <col min="11" max="11" width="20.85546875" customWidth="1"/>
    <col min="12" max="12" width="15.85546875" customWidth="1"/>
  </cols>
  <sheetData>
    <row r="1" spans="2:16" ht="23.25">
      <c r="B1" s="87" t="s">
        <v>275</v>
      </c>
    </row>
    <row r="4" spans="2:16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218</v>
      </c>
      <c r="I4" s="32" t="s">
        <v>219</v>
      </c>
      <c r="J4" s="32" t="s">
        <v>220</v>
      </c>
      <c r="K4" s="32" t="s">
        <v>221</v>
      </c>
      <c r="L4" s="32" t="s">
        <v>6</v>
      </c>
    </row>
    <row r="5" spans="2:16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OFFSET(Members!F80,Members!$L$1,0)</f>
        <v>15</v>
      </c>
      <c r="G5" s="79">
        <f ca="1">OFFSET(Members!F41,Members!$L$1,0)</f>
        <v>20</v>
      </c>
      <c r="L5" s="89">
        <f ca="1">SUM(M5*'Price of Tickets'!$I$16,N5*'Price of Tickets'!$I$17,O5*'Price of Tickets'!$I$18,P5*'Price of Tickets'!$I$19+F5+G5)</f>
        <v>133</v>
      </c>
      <c r="M5" s="94" t="b">
        <v>1</v>
      </c>
      <c r="N5" s="94" t="b">
        <v>1</v>
      </c>
      <c r="O5" s="94" t="b">
        <v>1</v>
      </c>
      <c r="P5" s="94" t="b">
        <v>1</v>
      </c>
    </row>
    <row r="6" spans="2:16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OFFSET(Members!F81,Members!$L$1,0)</f>
        <v>5</v>
      </c>
      <c r="G6" s="79">
        <f ca="1">OFFSET(Members!F42,Members!$L$1,0)</f>
        <v>7.4</v>
      </c>
      <c r="L6" s="89">
        <f ca="1">SUM(M6*'Price of Tickets'!$I$109,N6*'Price of Tickets'!$I$110,O6*'Price of Tickets'!$I$111,P6*'Price of Tickets'!$I$112+F6+G6)</f>
        <v>61.4</v>
      </c>
      <c r="M6" s="94" t="b">
        <v>1</v>
      </c>
      <c r="N6" s="94" t="b">
        <v>1</v>
      </c>
      <c r="O6" s="94" t="b">
        <v>1</v>
      </c>
      <c r="P6" s="94" t="b">
        <v>1</v>
      </c>
    </row>
    <row r="7" spans="2:16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OFFSET(Members!F82,Members!$L$1,0)</f>
        <v>15</v>
      </c>
      <c r="G7" s="79">
        <f ca="1">OFFSET(Members!F43,Members!$L$1,0)</f>
        <v>20</v>
      </c>
      <c r="L7" s="89">
        <f ca="1">SUM(M7*'Price of Tickets'!$I$16,N7*'Price of Tickets'!$I$17,O7*'Price of Tickets'!$I$18,P7*'Price of Tickets'!$I$19+F7+G7)</f>
        <v>133</v>
      </c>
      <c r="M7" s="94" t="b">
        <v>1</v>
      </c>
      <c r="N7" s="94" t="b">
        <v>1</v>
      </c>
      <c r="O7" s="94" t="b">
        <v>1</v>
      </c>
      <c r="P7" s="94" t="b">
        <v>1</v>
      </c>
    </row>
    <row r="8" spans="2:16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OFFSET(Members!F83,Members!$L$1,0)</f>
        <v>7.5</v>
      </c>
      <c r="G8" s="79">
        <f ca="1">OFFSET(Members!F44,Members!$L$1,0)</f>
        <v>11</v>
      </c>
      <c r="L8" s="89">
        <f ca="1">SUM(M8*'Price of Tickets'!$H$72,N8*'Price of Tickets'!$H$73,O8*'Price of Tickets'!$H$74,P8*'Price of Tickets'!$H$75+F8+G8)</f>
        <v>99.35</v>
      </c>
      <c r="M8" s="94" t="b">
        <v>1</v>
      </c>
      <c r="N8" s="94" t="b">
        <v>1</v>
      </c>
      <c r="O8" s="94" t="b">
        <v>1</v>
      </c>
      <c r="P8" s="94" t="b">
        <v>1</v>
      </c>
    </row>
    <row r="9" spans="2:16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OFFSET(Members!F84,Members!$L$1,0)</f>
        <v>15</v>
      </c>
      <c r="G9" s="79">
        <f ca="1">OFFSET(Members!F45,Members!$L$1,0)</f>
        <v>20</v>
      </c>
      <c r="L9" s="89">
        <f ca="1">SUM(M9*'Price of Tickets'!$I$16,N9*'Price of Tickets'!$I$17,O9*'Price of Tickets'!$I$18,P9*'Price of Tickets'!$I$19+F9+G9)</f>
        <v>133</v>
      </c>
      <c r="M9" s="94" t="b">
        <v>1</v>
      </c>
      <c r="N9" s="94" t="b">
        <v>1</v>
      </c>
      <c r="O9" s="94" t="b">
        <v>1</v>
      </c>
      <c r="P9" s="94" t="b">
        <v>1</v>
      </c>
    </row>
    <row r="10" spans="2:16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OFFSET(Members!F85,Members!$L$1,0)</f>
        <v>5</v>
      </c>
      <c r="G10" s="79">
        <f ca="1">OFFSET(Members!F46,Members!$L$1,0)</f>
        <v>7.4</v>
      </c>
      <c r="L10" s="89">
        <f ca="1">SUM(M10*'Price of Tickets'!$I$109,N10*'Price of Tickets'!$I$110,O10*'Price of Tickets'!$I$111,P10*'Price of Tickets'!$I$112+F10+G10)</f>
        <v>61.4</v>
      </c>
      <c r="M10" s="94" t="b">
        <v>1</v>
      </c>
      <c r="N10" s="94" t="b">
        <v>1</v>
      </c>
      <c r="O10" s="94" t="b">
        <v>1</v>
      </c>
      <c r="P10" s="94" t="b">
        <v>1</v>
      </c>
    </row>
    <row r="11" spans="2:16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OFFSET(Members!F86,Members!$L$1,0)</f>
        <v>10</v>
      </c>
      <c r="G11" s="79">
        <f ca="1">OFFSET(Members!F47,Members!$L$1,0)</f>
        <v>14.5</v>
      </c>
      <c r="L11" s="89">
        <f ca="1">SUM(M11*'Price of Tickets'!$H$44,N11*'Price of Tickets'!$H$45,O11*'Price of Tickets'!$H$46,P11*'Price of Tickets'!$H$47+F11+G11)</f>
        <v>112.69999999999999</v>
      </c>
      <c r="M11" s="94" t="b">
        <v>1</v>
      </c>
      <c r="N11" s="94" t="b">
        <v>1</v>
      </c>
      <c r="O11" s="94" t="b">
        <v>1</v>
      </c>
      <c r="P11" s="94" t="b">
        <v>1</v>
      </c>
    </row>
    <row r="12" spans="2:16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OFFSET(Members!F87,Members!$L$1,0)</f>
        <v>10</v>
      </c>
      <c r="G12" s="79">
        <f ca="1">OFFSET(Members!F48,Members!$L$1,0)</f>
        <v>14.5</v>
      </c>
      <c r="L12" s="89">
        <f ca="1">SUM(M12*'Price of Tickets'!$H$44,N12*'Price of Tickets'!$H$45,O12*'Price of Tickets'!$H$46,P12*'Price of Tickets'!$H$47+F12+G12)</f>
        <v>112.69999999999999</v>
      </c>
      <c r="M12" s="94" t="b">
        <v>1</v>
      </c>
      <c r="N12" s="94" t="b">
        <v>1</v>
      </c>
      <c r="O12" s="94" t="b">
        <v>1</v>
      </c>
      <c r="P12" s="94" t="b">
        <v>1</v>
      </c>
    </row>
    <row r="13" spans="2:16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OFFSET(Members!F88,Members!$L$1,0)</f>
        <v>15</v>
      </c>
      <c r="G13" s="79">
        <f ca="1">OFFSET(Members!F49,Members!$L$1,0)</f>
        <v>20</v>
      </c>
      <c r="L13" s="89">
        <f ca="1">SUM(M13*'Price of Tickets'!$I$16,N13*'Price of Tickets'!$I$17,O13*'Price of Tickets'!$I$18,P13*'Price of Tickets'!$I$19+F13+G13)</f>
        <v>133</v>
      </c>
      <c r="M13" s="94" t="b">
        <v>1</v>
      </c>
      <c r="N13" s="94" t="b">
        <v>1</v>
      </c>
      <c r="O13" s="94" t="b">
        <v>1</v>
      </c>
      <c r="P13" s="94" t="b">
        <v>1</v>
      </c>
    </row>
    <row r="14" spans="2:16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OFFSET(Members!F89,Members!$L$1,0)</f>
        <v>15</v>
      </c>
      <c r="G14" s="79">
        <f ca="1">OFFSET(Members!F50,Members!$L$1,0)</f>
        <v>20</v>
      </c>
      <c r="L14" s="89">
        <f ca="1">SUM(M14*'Price of Tickets'!$I$16,N14*'Price of Tickets'!$I$17,O14*'Price of Tickets'!$I$18,P14*'Price of Tickets'!$I$19+F14+G14)</f>
        <v>133</v>
      </c>
      <c r="M14" s="94" t="b">
        <v>1</v>
      </c>
      <c r="N14" s="94" t="b">
        <v>1</v>
      </c>
      <c r="O14" s="94" t="b">
        <v>1</v>
      </c>
      <c r="P14" s="94" t="b">
        <v>1</v>
      </c>
    </row>
    <row r="15" spans="2:16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OFFSET(Members!F90,Members!$L$1,0)</f>
        <v>7.5</v>
      </c>
      <c r="G15" s="79">
        <f ca="1">OFFSET(Members!F51,Members!$L$1,0)</f>
        <v>11</v>
      </c>
      <c r="L15" s="89">
        <f ca="1">SUM(M15*'Price of Tickets'!$H$72,N15*'Price of Tickets'!$H$73,O15*'Price of Tickets'!$H$74,P15*'Price of Tickets'!$H$75+F15+G15)</f>
        <v>99.35</v>
      </c>
      <c r="M15" s="94" t="b">
        <v>1</v>
      </c>
      <c r="N15" s="94" t="b">
        <v>1</v>
      </c>
      <c r="O15" s="94" t="b">
        <v>1</v>
      </c>
      <c r="P15" s="94" t="b">
        <v>1</v>
      </c>
    </row>
    <row r="16" spans="2:16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OFFSET(Members!F91,Members!$L$1,0)</f>
        <v>15</v>
      </c>
      <c r="G16" s="79">
        <f ca="1">OFFSET(Members!F52,Members!$L$1,0)</f>
        <v>20</v>
      </c>
      <c r="L16" s="89">
        <f ca="1">SUM(M16*'Price of Tickets'!$I$16,N16*'Price of Tickets'!$I$17,O16*'Price of Tickets'!$I$18,P16*'Price of Tickets'!$I$19+F16+G16)</f>
        <v>133</v>
      </c>
      <c r="M16" s="94" t="b">
        <v>1</v>
      </c>
      <c r="N16" s="94" t="b">
        <v>1</v>
      </c>
      <c r="O16" s="94" t="b">
        <v>1</v>
      </c>
      <c r="P16" s="94" t="b">
        <v>1</v>
      </c>
    </row>
    <row r="17" spans="2:16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OFFSET(Members!F92,Members!$L$1,0)</f>
        <v>15</v>
      </c>
      <c r="G17" s="79">
        <f ca="1">OFFSET(Members!F53,Members!$L$1,0)</f>
        <v>20</v>
      </c>
      <c r="L17" s="89">
        <f ca="1">SUM(M17*'Price of Tickets'!$I$16,N17*'Price of Tickets'!$I$17,O17*'Price of Tickets'!$I$18,P17*'Price of Tickets'!$I$19+F17+G17)</f>
        <v>133</v>
      </c>
      <c r="M17" s="94" t="b">
        <v>1</v>
      </c>
      <c r="N17" s="94" t="b">
        <v>1</v>
      </c>
      <c r="O17" s="94" t="b">
        <v>1</v>
      </c>
      <c r="P17" s="94" t="b">
        <v>1</v>
      </c>
    </row>
    <row r="18" spans="2:16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OFFSET(Members!F93,Members!$L$1,0)</f>
        <v>15</v>
      </c>
      <c r="G18" s="79">
        <f ca="1">OFFSET(Members!F54,Members!$L$1,0)</f>
        <v>20</v>
      </c>
      <c r="L18" s="89">
        <f ca="1">SUM(M18*'Price of Tickets'!$I$16,N18*'Price of Tickets'!$I$17,O18*'Price of Tickets'!$I$18,P18*'Price of Tickets'!$I$19+F18+G18)</f>
        <v>133</v>
      </c>
      <c r="M18" s="94" t="b">
        <v>1</v>
      </c>
      <c r="N18" s="94" t="b">
        <v>1</v>
      </c>
      <c r="O18" s="94" t="b">
        <v>1</v>
      </c>
      <c r="P18" s="94" t="b">
        <v>1</v>
      </c>
    </row>
    <row r="19" spans="2:16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OFFSET(Members!F94,Members!$L$1,0)</f>
        <v>15</v>
      </c>
      <c r="G19" s="79">
        <f ca="1">OFFSET(Members!F55,Members!$L$1,0)</f>
        <v>20</v>
      </c>
      <c r="L19" s="89">
        <f ca="1">SUM(M19*'Price of Tickets'!$I$16,N19*'Price of Tickets'!$I$17,O19*'Price of Tickets'!$I$18,P19*'Price of Tickets'!$I$19+F19+G19)</f>
        <v>133</v>
      </c>
      <c r="M19" s="94" t="b">
        <v>1</v>
      </c>
      <c r="N19" s="94" t="b">
        <v>1</v>
      </c>
      <c r="O19" s="94" t="b">
        <v>1</v>
      </c>
      <c r="P19" s="94" t="b">
        <v>1</v>
      </c>
    </row>
    <row r="20" spans="2:16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OFFSET(Members!F95,Members!$L$1,0)</f>
        <v>7.5</v>
      </c>
      <c r="G20" s="79">
        <f ca="1">OFFSET(Members!F56,Members!$L$1,0)</f>
        <v>11</v>
      </c>
      <c r="L20" s="89">
        <f ca="1">SUM(M20*'Price of Tickets'!$H$72,N20*'Price of Tickets'!$H$73,O20*'Price of Tickets'!$H$74,P20*'Price of Tickets'!$H$75+F20+G20)</f>
        <v>99.35</v>
      </c>
      <c r="M20" s="94" t="b">
        <v>1</v>
      </c>
      <c r="N20" s="94" t="b">
        <v>1</v>
      </c>
      <c r="O20" s="94" t="b">
        <v>1</v>
      </c>
      <c r="P20" s="94" t="b">
        <v>1</v>
      </c>
    </row>
    <row r="21" spans="2:16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OFFSET(Members!F96,Members!$L$1,0)</f>
        <v>15</v>
      </c>
      <c r="G21" s="79">
        <f ca="1">OFFSET(Members!F57,Members!$L$1,0)</f>
        <v>20</v>
      </c>
      <c r="L21" s="89">
        <f ca="1">SUM(M21*'Price of Tickets'!$I$16,N21*'Price of Tickets'!$I$17,O21*'Price of Tickets'!$I$18,P21*'Price of Tickets'!$I$19+F21+G21)</f>
        <v>133</v>
      </c>
      <c r="M21" s="94" t="b">
        <v>1</v>
      </c>
      <c r="N21" s="94" t="b">
        <v>1</v>
      </c>
      <c r="O21" s="94" t="b">
        <v>1</v>
      </c>
      <c r="P21" s="94" t="b">
        <v>1</v>
      </c>
    </row>
    <row r="22" spans="2:16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OFFSET(Members!F97,Members!$L$1,0)</f>
        <v>7.5</v>
      </c>
      <c r="G22" s="79">
        <f ca="1">OFFSET(Members!F58,Members!$L$1,0)</f>
        <v>11</v>
      </c>
      <c r="L22" s="89">
        <f ca="1">SUM(M22*'Price of Tickets'!$H$72,N22*'Price of Tickets'!$H$73,O22*'Price of Tickets'!$H$74,P22*'Price of Tickets'!$H$75+F22+G22)</f>
        <v>99.35</v>
      </c>
      <c r="M22" s="94" t="b">
        <v>1</v>
      </c>
      <c r="N22" s="94" t="b">
        <v>1</v>
      </c>
      <c r="O22" s="94" t="b">
        <v>1</v>
      </c>
      <c r="P22" s="94" t="b">
        <v>1</v>
      </c>
    </row>
    <row r="23" spans="2:16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OFFSET(Members!F98,Members!$L$1,0)</f>
        <v>15</v>
      </c>
      <c r="G23" s="79">
        <f ca="1">OFFSET(Members!F59,Members!$L$1,0)</f>
        <v>20</v>
      </c>
      <c r="L23" s="89">
        <f ca="1">SUM(M23*'Price of Tickets'!$I$16,N23*'Price of Tickets'!$I$17,O23*'Price of Tickets'!$I$18,P23*'Price of Tickets'!$I$19+F23+G23)</f>
        <v>133</v>
      </c>
      <c r="M23" s="94" t="b">
        <v>1</v>
      </c>
      <c r="N23" s="94" t="b">
        <v>1</v>
      </c>
      <c r="O23" s="94" t="b">
        <v>1</v>
      </c>
      <c r="P23" s="94" t="b">
        <v>1</v>
      </c>
    </row>
    <row r="24" spans="2:16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OFFSET(Members!F99,Members!$L$1,0)</f>
        <v>10</v>
      </c>
      <c r="G24" s="79">
        <f ca="1">OFFSET(Members!F60,Members!$L$1,0)</f>
        <v>14.5</v>
      </c>
      <c r="L24" s="89">
        <f ca="1">SUM(M24*'Price of Tickets'!$H$44,N24*'Price of Tickets'!$H$45,O24*'Price of Tickets'!$H$46,P24*'Price of Tickets'!$H$47+F24+G24)</f>
        <v>112.69999999999999</v>
      </c>
      <c r="M24" s="94" t="b">
        <v>1</v>
      </c>
      <c r="N24" s="94" t="b">
        <v>1</v>
      </c>
      <c r="O24" s="94" t="b">
        <v>1</v>
      </c>
      <c r="P24" s="94" t="b">
        <v>1</v>
      </c>
    </row>
    <row r="25" spans="2:16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OFFSET(Members!F100,Members!$L$1,0)</f>
        <v>10</v>
      </c>
      <c r="G25" s="79">
        <f ca="1">OFFSET(Members!F61,Members!$L$1,0)</f>
        <v>14.5</v>
      </c>
      <c r="L25" s="89">
        <f ca="1">SUM(M25*'Price of Tickets'!$H$44,N25*'Price of Tickets'!$H$45,O25*'Price of Tickets'!$H$46,P25*'Price of Tickets'!$H$47+F25+G25)</f>
        <v>112.69999999999999</v>
      </c>
      <c r="M25" s="94" t="b">
        <v>1</v>
      </c>
      <c r="N25" s="94" t="b">
        <v>1</v>
      </c>
      <c r="O25" s="94" t="b">
        <v>1</v>
      </c>
      <c r="P25" s="94" t="b">
        <v>1</v>
      </c>
    </row>
    <row r="26" spans="2:16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OFFSET(Members!F101,Members!$L$1,0)</f>
        <v>15</v>
      </c>
      <c r="G26" s="79">
        <f ca="1">OFFSET(Members!F62,Members!$L$1,0)</f>
        <v>20</v>
      </c>
      <c r="L26" s="89">
        <f ca="1">SUM(M26*'Price of Tickets'!$I$16,N26*'Price of Tickets'!$I$17,O26*'Price of Tickets'!$I$18,P26*'Price of Tickets'!$I$19+F26+G26)</f>
        <v>133</v>
      </c>
      <c r="M26" s="94" t="b">
        <v>1</v>
      </c>
      <c r="N26" s="94" t="b">
        <v>1</v>
      </c>
      <c r="O26" s="94" t="b">
        <v>1</v>
      </c>
      <c r="P26" s="94" t="b">
        <v>1</v>
      </c>
    </row>
    <row r="27" spans="2:16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OFFSET(Members!F102,Members!$L$1,0)</f>
        <v>15</v>
      </c>
      <c r="G27" s="79">
        <f ca="1">OFFSET(Members!F63,Members!$L$1,0)</f>
        <v>20</v>
      </c>
      <c r="L27" s="89">
        <f ca="1">SUM(M27*'Price of Tickets'!$I$16,N27*'Price of Tickets'!$I$17,O27*'Price of Tickets'!$I$18,P27*'Price of Tickets'!$I$19+F27+G27)</f>
        <v>133</v>
      </c>
      <c r="M27" s="94" t="b">
        <v>1</v>
      </c>
      <c r="N27" s="94" t="b">
        <v>1</v>
      </c>
      <c r="O27" s="94" t="b">
        <v>1</v>
      </c>
      <c r="P27" s="94" t="b">
        <v>1</v>
      </c>
    </row>
    <row r="28" spans="2:16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OFFSET(Members!F103,Members!$L$1,0)</f>
        <v>10</v>
      </c>
      <c r="G28" s="79">
        <f ca="1">OFFSET(Members!F64,Members!$L$1,0)</f>
        <v>14.5</v>
      </c>
      <c r="L28" s="89">
        <f ca="1">SUM(M28*'Price of Tickets'!$H$44,N28*'Price of Tickets'!$H$45,O28*'Price of Tickets'!$H$46,P28*'Price of Tickets'!$H$47+F28+G28)</f>
        <v>112.69999999999999</v>
      </c>
      <c r="M28" s="94" t="b">
        <v>1</v>
      </c>
      <c r="N28" s="94" t="b">
        <v>1</v>
      </c>
      <c r="O28" s="94" t="b">
        <v>1</v>
      </c>
      <c r="P28" s="94" t="b">
        <v>1</v>
      </c>
    </row>
    <row r="29" spans="2:16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OFFSET(Members!F104,Members!$L$1,0)</f>
        <v>10</v>
      </c>
      <c r="G29" s="79">
        <f ca="1">OFFSET(Members!F65,Members!$L$1,0)</f>
        <v>14.5</v>
      </c>
      <c r="L29" s="89">
        <f ca="1">SUM(M29*'Price of Tickets'!$H$44,N29*'Price of Tickets'!$H$45,O29*'Price of Tickets'!$H$46,P29*'Price of Tickets'!$H$47+F29+G29)</f>
        <v>112.69999999999999</v>
      </c>
      <c r="M29" s="94" t="b">
        <v>1</v>
      </c>
      <c r="N29" s="94" t="b">
        <v>1</v>
      </c>
      <c r="O29" s="94" t="b">
        <v>1</v>
      </c>
      <c r="P29" s="94" t="b">
        <v>1</v>
      </c>
    </row>
    <row r="30" spans="2:16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OFFSET(Members!F105,Members!$L$1,0)</f>
        <v>15</v>
      </c>
      <c r="G30" s="79">
        <f ca="1">OFFSET(Members!F66,Members!$L$1,0)</f>
        <v>20</v>
      </c>
      <c r="L30" s="89">
        <f ca="1">SUM(M30*'Price of Tickets'!$I$16,N30*'Price of Tickets'!$I$17,O30*'Price of Tickets'!$I$18,P30*'Price of Tickets'!$I$19+F30+G30)</f>
        <v>133</v>
      </c>
      <c r="M30" s="94" t="b">
        <v>1</v>
      </c>
      <c r="N30" s="94" t="b">
        <v>1</v>
      </c>
      <c r="O30" s="94" t="b">
        <v>1</v>
      </c>
      <c r="P30" s="94" t="b">
        <v>1</v>
      </c>
    </row>
    <row r="31" spans="2:16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OFFSET(Members!F106,Members!$L$1,0)</f>
        <v>15</v>
      </c>
      <c r="G31" s="79">
        <f ca="1">OFFSET(Members!F67,Members!$L$1,0)</f>
        <v>20</v>
      </c>
      <c r="L31" s="89">
        <f ca="1">SUM(M31*'Price of Tickets'!$I$16,N31*'Price of Tickets'!$I$17,O31*'Price of Tickets'!$I$18,P31*'Price of Tickets'!$I$19+F31+G31)</f>
        <v>133</v>
      </c>
      <c r="M31" s="94" t="b">
        <v>1</v>
      </c>
      <c r="N31" s="94" t="b">
        <v>1</v>
      </c>
      <c r="O31" s="94" t="b">
        <v>1</v>
      </c>
      <c r="P31" s="94" t="b">
        <v>1</v>
      </c>
    </row>
    <row r="32" spans="2:16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OFFSET(Members!F107,Members!$L$1,0)</f>
        <v>15</v>
      </c>
      <c r="G32" s="79">
        <f ca="1">OFFSET(Members!F68,Members!$L$1,0)</f>
        <v>20</v>
      </c>
      <c r="L32" s="89">
        <f ca="1">SUM(M32*'Price of Tickets'!$I$16,N32*'Price of Tickets'!$I$17,O32*'Price of Tickets'!$I$18,P32*'Price of Tickets'!$I$19+F32+G32)</f>
        <v>133</v>
      </c>
      <c r="M32" s="94" t="b">
        <v>1</v>
      </c>
      <c r="N32" s="94" t="b">
        <v>1</v>
      </c>
      <c r="O32" s="94" t="b">
        <v>1</v>
      </c>
      <c r="P32" s="94" t="b">
        <v>1</v>
      </c>
    </row>
    <row r="33" spans="2:16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OFFSET(Members!F108,Members!$L$1,0)</f>
        <v>7.5</v>
      </c>
      <c r="G33" s="79">
        <f ca="1">OFFSET(Members!F69,Members!$L$1,0)</f>
        <v>11</v>
      </c>
      <c r="L33" s="89">
        <f ca="1">SUM(M33*'Price of Tickets'!$H$72,N33*'Price of Tickets'!$H$73,O33*'Price of Tickets'!$H$74,P33*'Price of Tickets'!$H$75+F33+G33)</f>
        <v>99.35</v>
      </c>
      <c r="M33" s="94" t="b">
        <v>1</v>
      </c>
      <c r="N33" s="94" t="b">
        <v>1</v>
      </c>
      <c r="O33" s="94" t="b">
        <v>1</v>
      </c>
      <c r="P33" s="94" t="b">
        <v>1</v>
      </c>
    </row>
    <row r="34" spans="2:16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OFFSET(Members!F109,Members!$L$1,0)</f>
        <v>7.5</v>
      </c>
      <c r="G34" s="79">
        <f ca="1">OFFSET(Members!F70,Members!$L$1,0)</f>
        <v>11</v>
      </c>
      <c r="L34" s="89">
        <f ca="1">SUM(M34*'Price of Tickets'!$H$72,N34*'Price of Tickets'!$H$73,O34*'Price of Tickets'!$H$74,P34*'Price of Tickets'!$H$75+F34+G34)</f>
        <v>99.35</v>
      </c>
      <c r="M34" s="94" t="b">
        <v>1</v>
      </c>
      <c r="N34" s="94" t="b">
        <v>1</v>
      </c>
      <c r="O34" s="94" t="b">
        <v>1</v>
      </c>
      <c r="P34" s="94" t="b">
        <v>1</v>
      </c>
    </row>
    <row r="35" spans="2:16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OFFSET(Members!F110,Members!$L$1,0)</f>
        <v>15</v>
      </c>
      <c r="G35" s="79">
        <f ca="1">OFFSET(Members!F71,Members!$L$1,0)</f>
        <v>20</v>
      </c>
      <c r="L35" s="89">
        <f ca="1">SUM(M35*'Price of Tickets'!$I$16,N35*'Price of Tickets'!$I$17,O35*'Price of Tickets'!$I$18,P35*'Price of Tickets'!$I$19+F35+G35)</f>
        <v>133</v>
      </c>
      <c r="M35" s="94" t="b">
        <v>1</v>
      </c>
      <c r="N35" s="94" t="b">
        <v>1</v>
      </c>
      <c r="O35" s="94" t="b">
        <v>1</v>
      </c>
      <c r="P35" s="94" t="b">
        <v>1</v>
      </c>
    </row>
    <row r="37" spans="2:16" ht="21">
      <c r="I37" s="102" t="s">
        <v>211</v>
      </c>
      <c r="L37" s="123">
        <f ca="1">SUM(L5:L35)</f>
        <v>3656.099999999999</v>
      </c>
    </row>
    <row r="42" spans="2:16" ht="15.75" thickBot="1"/>
    <row r="43" spans="2:16" ht="16.5" thickTop="1" thickBot="1">
      <c r="B43" s="100" t="s">
        <v>284</v>
      </c>
      <c r="C43" s="99"/>
      <c r="D43" s="96" t="s">
        <v>285</v>
      </c>
      <c r="E43" s="97"/>
    </row>
    <row r="44" spans="2:16" ht="16.5" thickTop="1" thickBot="1">
      <c r="D44" s="96" t="s">
        <v>294</v>
      </c>
      <c r="E44" s="98"/>
    </row>
    <row r="45" spans="2:16" ht="16.5" thickTop="1" thickBot="1">
      <c r="D45" s="96" t="s">
        <v>288</v>
      </c>
      <c r="E45" s="97"/>
    </row>
    <row r="46" spans="2:16" ht="16.5" thickTop="1" thickBot="1">
      <c r="D46" s="96" t="s">
        <v>289</v>
      </c>
      <c r="E46" s="98"/>
    </row>
    <row r="47" spans="2:16" ht="16.5" thickTop="1" thickBot="1">
      <c r="D47" s="96" t="s">
        <v>290</v>
      </c>
      <c r="E47" s="98"/>
    </row>
    <row r="48" spans="2:16" ht="16.5" thickTop="1" thickBot="1">
      <c r="D48" s="96" t="s">
        <v>291</v>
      </c>
      <c r="E48" s="97" t="s">
        <v>301</v>
      </c>
    </row>
    <row r="49" spans="4:5" ht="16.5" thickTop="1" thickBot="1">
      <c r="D49" s="96" t="s">
        <v>295</v>
      </c>
      <c r="E49" s="97" t="s">
        <v>301</v>
      </c>
    </row>
    <row r="50" spans="4:5" ht="16.5" thickTop="1" thickBot="1">
      <c r="D50" s="96" t="s">
        <v>296</v>
      </c>
      <c r="E50" s="98" t="s">
        <v>301</v>
      </c>
    </row>
    <row r="51" spans="4:5" ht="16.5" thickTop="1" thickBot="1">
      <c r="D51" s="96" t="s">
        <v>297</v>
      </c>
      <c r="E51" s="98"/>
    </row>
    <row r="52" spans="4:5" ht="16.5" thickTop="1" thickBot="1">
      <c r="D52" s="96" t="s">
        <v>298</v>
      </c>
      <c r="E52" s="97" t="s">
        <v>301</v>
      </c>
    </row>
    <row r="53" spans="4:5" ht="16.5" thickTop="1" thickBot="1">
      <c r="D53" s="96" t="s">
        <v>299</v>
      </c>
      <c r="E53" s="97" t="s">
        <v>301</v>
      </c>
    </row>
    <row r="54" spans="4:5" ht="16.5" thickTop="1" thickBot="1">
      <c r="D54" s="96" t="s">
        <v>300</v>
      </c>
      <c r="E54" s="98"/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20" r:id="rId3" name="Check Box 124">
              <controlPr defaultSize="0" autoFill="0" autoLine="0" autoPict="0">
                <anchor moveWithCells="1">
                  <from>
                    <xdr:col>7</xdr:col>
                    <xdr:colOff>533400</xdr:colOff>
                    <xdr:row>6</xdr:row>
                    <xdr:rowOff>152400</xdr:rowOff>
                  </from>
                  <to>
                    <xdr:col>7</xdr:col>
                    <xdr:colOff>923925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1" r:id="rId4" name="Check Box 125">
              <controlPr defaultSize="0" autoFill="0" autoLine="0" autoPict="0">
                <anchor moveWithCells="1">
                  <from>
                    <xdr:col>7</xdr:col>
                    <xdr:colOff>533400</xdr:colOff>
                    <xdr:row>8</xdr:row>
                    <xdr:rowOff>0</xdr:rowOff>
                  </from>
                  <to>
                    <xdr:col>7</xdr:col>
                    <xdr:colOff>847725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2" r:id="rId5" name="Check Box 126">
              <controlPr defaultSize="0" autoFill="0" autoLine="0" autoPict="0">
                <anchor moveWithCells="1">
                  <from>
                    <xdr:col>7</xdr:col>
                    <xdr:colOff>533400</xdr:colOff>
                    <xdr:row>9</xdr:row>
                    <xdr:rowOff>0</xdr:rowOff>
                  </from>
                  <to>
                    <xdr:col>7</xdr:col>
                    <xdr:colOff>847725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6" name="Check Box 127">
              <controlPr defaultSize="0" autoFill="0" autoLine="0" autoPict="0">
                <anchor moveWithCells="1">
                  <from>
                    <xdr:col>7</xdr:col>
                    <xdr:colOff>542925</xdr:colOff>
                    <xdr:row>9</xdr:row>
                    <xdr:rowOff>161925</xdr:rowOff>
                  </from>
                  <to>
                    <xdr:col>7</xdr:col>
                    <xdr:colOff>857250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7" name="Check Box 128">
              <controlPr defaultSize="0" autoFill="0" autoLine="0" autoPict="0">
                <anchor moveWithCells="1">
                  <from>
                    <xdr:col>7</xdr:col>
                    <xdr:colOff>533400</xdr:colOff>
                    <xdr:row>10</xdr:row>
                    <xdr:rowOff>142875</xdr:rowOff>
                  </from>
                  <to>
                    <xdr:col>7</xdr:col>
                    <xdr:colOff>866775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8" name="Check Box 129">
              <controlPr defaultSize="0" autoFill="0" autoLine="0" autoPict="0">
                <anchor moveWithCells="1">
                  <from>
                    <xdr:col>7</xdr:col>
                    <xdr:colOff>533400</xdr:colOff>
                    <xdr:row>11</xdr:row>
                    <xdr:rowOff>171450</xdr:rowOff>
                  </from>
                  <to>
                    <xdr:col>7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" name="Check Box 130">
              <controlPr defaultSize="0" autoFill="0" autoLine="0" autoPict="0">
                <anchor moveWithCells="1">
                  <from>
                    <xdr:col>7</xdr:col>
                    <xdr:colOff>533400</xdr:colOff>
                    <xdr:row>12</xdr:row>
                    <xdr:rowOff>171450</xdr:rowOff>
                  </from>
                  <to>
                    <xdr:col>7</xdr:col>
                    <xdr:colOff>838200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" name="Check Box 131">
              <controlPr defaultSize="0" autoFill="0" autoLine="0" autoPict="0">
                <anchor moveWithCells="1">
                  <from>
                    <xdr:col>7</xdr:col>
                    <xdr:colOff>533400</xdr:colOff>
                    <xdr:row>13</xdr:row>
                    <xdr:rowOff>161925</xdr:rowOff>
                  </from>
                  <to>
                    <xdr:col>7</xdr:col>
                    <xdr:colOff>847725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1" name="Check Box 132">
              <controlPr defaultSize="0" autoFill="0" autoLine="0" autoPict="0">
                <anchor moveWithCells="1">
                  <from>
                    <xdr:col>7</xdr:col>
                    <xdr:colOff>533400</xdr:colOff>
                    <xdr:row>14</xdr:row>
                    <xdr:rowOff>152400</xdr:rowOff>
                  </from>
                  <to>
                    <xdr:col>8</xdr:col>
                    <xdr:colOff>257175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9" r:id="rId12" name="Check Box 133">
              <controlPr defaultSize="0" autoFill="0" autoLine="0" autoPict="0">
                <anchor moveWithCells="1">
                  <from>
                    <xdr:col>7</xdr:col>
                    <xdr:colOff>523875</xdr:colOff>
                    <xdr:row>15</xdr:row>
                    <xdr:rowOff>171450</xdr:rowOff>
                  </from>
                  <to>
                    <xdr:col>7</xdr:col>
                    <xdr:colOff>857250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0" r:id="rId13" name="Check Box 134">
              <controlPr defaultSize="0" autoFill="0" autoLine="0" autoPict="0">
                <anchor moveWithCells="1">
                  <from>
                    <xdr:col>7</xdr:col>
                    <xdr:colOff>533400</xdr:colOff>
                    <xdr:row>16</xdr:row>
                    <xdr:rowOff>171450</xdr:rowOff>
                  </from>
                  <to>
                    <xdr:col>7</xdr:col>
                    <xdr:colOff>895350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4" name="Check Box 135">
              <controlPr defaultSize="0" autoFill="0" autoLine="0" autoPict="0">
                <anchor moveWithCells="1">
                  <from>
                    <xdr:col>7</xdr:col>
                    <xdr:colOff>533400</xdr:colOff>
                    <xdr:row>17</xdr:row>
                    <xdr:rowOff>161925</xdr:rowOff>
                  </from>
                  <to>
                    <xdr:col>7</xdr:col>
                    <xdr:colOff>866775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5" name="Check Box 136">
              <controlPr defaultSize="0" autoFill="0" autoLine="0" autoPict="0">
                <anchor moveWithCells="1">
                  <from>
                    <xdr:col>7</xdr:col>
                    <xdr:colOff>533400</xdr:colOff>
                    <xdr:row>19</xdr:row>
                    <xdr:rowOff>0</xdr:rowOff>
                  </from>
                  <to>
                    <xdr:col>7</xdr:col>
                    <xdr:colOff>838200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6" name="Check Box 137">
              <controlPr defaultSize="0" autoFill="0" autoLine="0" autoPict="0">
                <anchor moveWithCells="1">
                  <from>
                    <xdr:col>7</xdr:col>
                    <xdr:colOff>533400</xdr:colOff>
                    <xdr:row>19</xdr:row>
                    <xdr:rowOff>171450</xdr:rowOff>
                  </from>
                  <to>
                    <xdr:col>7</xdr:col>
                    <xdr:colOff>809625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7" name="Check Box 138">
              <controlPr defaultSize="0" autoFill="0" autoLine="0" autoPict="0">
                <anchor moveWithCells="1">
                  <from>
                    <xdr:col>7</xdr:col>
                    <xdr:colOff>542925</xdr:colOff>
                    <xdr:row>20</xdr:row>
                    <xdr:rowOff>180975</xdr:rowOff>
                  </from>
                  <to>
                    <xdr:col>7</xdr:col>
                    <xdr:colOff>847725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8" name="Check Box 139">
              <controlPr defaultSize="0" autoFill="0" autoLine="0" autoPict="0">
                <anchor moveWithCells="1">
                  <from>
                    <xdr:col>7</xdr:col>
                    <xdr:colOff>552450</xdr:colOff>
                    <xdr:row>21</xdr:row>
                    <xdr:rowOff>171450</xdr:rowOff>
                  </from>
                  <to>
                    <xdr:col>7</xdr:col>
                    <xdr:colOff>885825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9" name="Check Box 140">
              <controlPr defaultSize="0" autoFill="0" autoLine="0" autoPict="0">
                <anchor moveWithCells="1">
                  <from>
                    <xdr:col>7</xdr:col>
                    <xdr:colOff>561975</xdr:colOff>
                    <xdr:row>22</xdr:row>
                    <xdr:rowOff>180975</xdr:rowOff>
                  </from>
                  <to>
                    <xdr:col>7</xdr:col>
                    <xdr:colOff>895350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7" r:id="rId20" name="Check Box 141">
              <controlPr defaultSize="0" autoFill="0" autoLine="0" autoPict="0">
                <anchor moveWithCells="1">
                  <from>
                    <xdr:col>7</xdr:col>
                    <xdr:colOff>523875</xdr:colOff>
                    <xdr:row>23</xdr:row>
                    <xdr:rowOff>161925</xdr:rowOff>
                  </from>
                  <to>
                    <xdr:col>7</xdr:col>
                    <xdr:colOff>857250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8" r:id="rId21" name="Check Box 142">
              <controlPr defaultSize="0" autoFill="0" autoLine="0" autoPict="0">
                <anchor moveWithCells="1">
                  <from>
                    <xdr:col>7</xdr:col>
                    <xdr:colOff>523875</xdr:colOff>
                    <xdr:row>24</xdr:row>
                    <xdr:rowOff>161925</xdr:rowOff>
                  </from>
                  <to>
                    <xdr:col>7</xdr:col>
                    <xdr:colOff>838200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9" r:id="rId22" name="Check Box 143">
              <controlPr defaultSize="0" autoFill="0" autoLine="0" autoPict="0">
                <anchor moveWithCells="1">
                  <from>
                    <xdr:col>7</xdr:col>
                    <xdr:colOff>533400</xdr:colOff>
                    <xdr:row>25</xdr:row>
                    <xdr:rowOff>171450</xdr:rowOff>
                  </from>
                  <to>
                    <xdr:col>7</xdr:col>
                    <xdr:colOff>828675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0" r:id="rId23" name="Check Box 144">
              <controlPr defaultSize="0" autoFill="0" autoLine="0" autoPict="0">
                <anchor moveWithCells="1">
                  <from>
                    <xdr:col>7</xdr:col>
                    <xdr:colOff>533400</xdr:colOff>
                    <xdr:row>5</xdr:row>
                    <xdr:rowOff>152400</xdr:rowOff>
                  </from>
                  <to>
                    <xdr:col>7</xdr:col>
                    <xdr:colOff>962025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1" r:id="rId24" name="Check Box 145">
              <controlPr defaultSize="0" autoFill="0" autoLine="0" autoPict="0">
                <anchor moveWithCells="1">
                  <from>
                    <xdr:col>7</xdr:col>
                    <xdr:colOff>533400</xdr:colOff>
                    <xdr:row>4</xdr:row>
                    <xdr:rowOff>133350</xdr:rowOff>
                  </from>
                  <to>
                    <xdr:col>7</xdr:col>
                    <xdr:colOff>933450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2" r:id="rId25" name="Check Box 146">
              <controlPr defaultSize="0" autoFill="0" autoLine="0" autoPict="0">
                <anchor moveWithCells="1">
                  <from>
                    <xdr:col>9</xdr:col>
                    <xdr:colOff>581025</xdr:colOff>
                    <xdr:row>5</xdr:row>
                    <xdr:rowOff>142875</xdr:rowOff>
                  </from>
                  <to>
                    <xdr:col>9</xdr:col>
                    <xdr:colOff>1047750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3" r:id="rId26" name="Check Box 147">
              <controlPr defaultSize="0" autoFill="0" autoLine="0" autoPict="0">
                <anchor moveWithCells="1">
                  <from>
                    <xdr:col>9</xdr:col>
                    <xdr:colOff>581025</xdr:colOff>
                    <xdr:row>6</xdr:row>
                    <xdr:rowOff>152400</xdr:rowOff>
                  </from>
                  <to>
                    <xdr:col>9</xdr:col>
                    <xdr:colOff>1047750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4" r:id="rId27" name="Check Box 148">
              <controlPr defaultSize="0" autoFill="0" autoLine="0" autoPict="0">
                <anchor moveWithCells="1">
                  <from>
                    <xdr:col>9</xdr:col>
                    <xdr:colOff>581025</xdr:colOff>
                    <xdr:row>7</xdr:row>
                    <xdr:rowOff>142875</xdr:rowOff>
                  </from>
                  <to>
                    <xdr:col>9</xdr:col>
                    <xdr:colOff>1047750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5" r:id="rId28" name="Check Box 149">
              <controlPr defaultSize="0" autoFill="0" autoLine="0" autoPict="0">
                <anchor moveWithCells="1">
                  <from>
                    <xdr:col>9</xdr:col>
                    <xdr:colOff>581025</xdr:colOff>
                    <xdr:row>8</xdr:row>
                    <xdr:rowOff>161925</xdr:rowOff>
                  </from>
                  <to>
                    <xdr:col>9</xdr:col>
                    <xdr:colOff>1047750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6" r:id="rId29" name="Check Box 150">
              <controlPr defaultSize="0" autoFill="0" autoLine="0" autoPict="0">
                <anchor moveWithCells="1">
                  <from>
                    <xdr:col>9</xdr:col>
                    <xdr:colOff>581025</xdr:colOff>
                    <xdr:row>10</xdr:row>
                    <xdr:rowOff>152400</xdr:rowOff>
                  </from>
                  <to>
                    <xdr:col>9</xdr:col>
                    <xdr:colOff>1047750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7" r:id="rId30" name="Check Box 151">
              <controlPr defaultSize="0" autoFill="0" autoLine="0" autoPict="0">
                <anchor moveWithCells="1">
                  <from>
                    <xdr:col>9</xdr:col>
                    <xdr:colOff>581025</xdr:colOff>
                    <xdr:row>11</xdr:row>
                    <xdr:rowOff>152400</xdr:rowOff>
                  </from>
                  <to>
                    <xdr:col>9</xdr:col>
                    <xdr:colOff>1047750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8" r:id="rId31" name="Check Box 152">
              <controlPr defaultSize="0" autoFill="0" autoLine="0" autoPict="0">
                <anchor moveWithCells="1">
                  <from>
                    <xdr:col>9</xdr:col>
                    <xdr:colOff>581025</xdr:colOff>
                    <xdr:row>12</xdr:row>
                    <xdr:rowOff>142875</xdr:rowOff>
                  </from>
                  <to>
                    <xdr:col>9</xdr:col>
                    <xdr:colOff>1047750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9" r:id="rId32" name="Check Box 153">
              <controlPr defaultSize="0" autoFill="0" autoLine="0" autoPict="0">
                <anchor moveWithCells="1">
                  <from>
                    <xdr:col>9</xdr:col>
                    <xdr:colOff>581025</xdr:colOff>
                    <xdr:row>13</xdr:row>
                    <xdr:rowOff>152400</xdr:rowOff>
                  </from>
                  <to>
                    <xdr:col>9</xdr:col>
                    <xdr:colOff>1047750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0" r:id="rId33" name="Check Box 154">
              <controlPr defaultSize="0" autoFill="0" autoLine="0" autoPict="0">
                <anchor moveWithCells="1">
                  <from>
                    <xdr:col>9</xdr:col>
                    <xdr:colOff>581025</xdr:colOff>
                    <xdr:row>14</xdr:row>
                    <xdr:rowOff>133350</xdr:rowOff>
                  </from>
                  <to>
                    <xdr:col>9</xdr:col>
                    <xdr:colOff>1047750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1" r:id="rId34" name="Check Box 155">
              <controlPr defaultSize="0" autoFill="0" autoLine="0" autoPict="0">
                <anchor moveWithCells="1">
                  <from>
                    <xdr:col>9</xdr:col>
                    <xdr:colOff>581025</xdr:colOff>
                    <xdr:row>15</xdr:row>
                    <xdr:rowOff>133350</xdr:rowOff>
                  </from>
                  <to>
                    <xdr:col>9</xdr:col>
                    <xdr:colOff>1047750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2" r:id="rId35" name="Check Box 156">
              <controlPr defaultSize="0" autoFill="0" autoLine="0" autoPict="0">
                <anchor moveWithCells="1">
                  <from>
                    <xdr:col>9</xdr:col>
                    <xdr:colOff>581025</xdr:colOff>
                    <xdr:row>16</xdr:row>
                    <xdr:rowOff>161925</xdr:rowOff>
                  </from>
                  <to>
                    <xdr:col>9</xdr:col>
                    <xdr:colOff>1047750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3" r:id="rId36" name="Check Box 157">
              <controlPr defaultSize="0" autoFill="0" autoLine="0" autoPict="0">
                <anchor moveWithCells="1">
                  <from>
                    <xdr:col>9</xdr:col>
                    <xdr:colOff>581025</xdr:colOff>
                    <xdr:row>17</xdr:row>
                    <xdr:rowOff>152400</xdr:rowOff>
                  </from>
                  <to>
                    <xdr:col>9</xdr:col>
                    <xdr:colOff>1047750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4" r:id="rId37" name="Check Box 158">
              <controlPr defaultSize="0" autoFill="0" autoLine="0" autoPict="0">
                <anchor moveWithCells="1">
                  <from>
                    <xdr:col>9</xdr:col>
                    <xdr:colOff>581025</xdr:colOff>
                    <xdr:row>18</xdr:row>
                    <xdr:rowOff>142875</xdr:rowOff>
                  </from>
                  <to>
                    <xdr:col>9</xdr:col>
                    <xdr:colOff>1047750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5" r:id="rId38" name="Check Box 159">
              <controlPr defaultSize="0" autoFill="0" autoLine="0" autoPict="0">
                <anchor moveWithCells="1">
                  <from>
                    <xdr:col>9</xdr:col>
                    <xdr:colOff>581025</xdr:colOff>
                    <xdr:row>19</xdr:row>
                    <xdr:rowOff>133350</xdr:rowOff>
                  </from>
                  <to>
                    <xdr:col>9</xdr:col>
                    <xdr:colOff>1047750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6" r:id="rId39" name="Check Box 160">
              <controlPr defaultSize="0" autoFill="0" autoLine="0" autoPict="0">
                <anchor moveWithCells="1">
                  <from>
                    <xdr:col>9</xdr:col>
                    <xdr:colOff>581025</xdr:colOff>
                    <xdr:row>20</xdr:row>
                    <xdr:rowOff>142875</xdr:rowOff>
                  </from>
                  <to>
                    <xdr:col>9</xdr:col>
                    <xdr:colOff>1047750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7" r:id="rId40" name="Check Box 161">
              <controlPr defaultSize="0" autoFill="0" autoLine="0" autoPict="0">
                <anchor moveWithCells="1">
                  <from>
                    <xdr:col>9</xdr:col>
                    <xdr:colOff>581025</xdr:colOff>
                    <xdr:row>21</xdr:row>
                    <xdr:rowOff>133350</xdr:rowOff>
                  </from>
                  <to>
                    <xdr:col>9</xdr:col>
                    <xdr:colOff>1047750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8" r:id="rId41" name="Check Box 162">
              <controlPr defaultSize="0" autoFill="0" autoLine="0" autoPict="0">
                <anchor moveWithCells="1">
                  <from>
                    <xdr:col>9</xdr:col>
                    <xdr:colOff>581025</xdr:colOff>
                    <xdr:row>22</xdr:row>
                    <xdr:rowOff>133350</xdr:rowOff>
                  </from>
                  <to>
                    <xdr:col>9</xdr:col>
                    <xdr:colOff>1047750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9" r:id="rId42" name="Check Box 163">
              <controlPr defaultSize="0" autoFill="0" autoLine="0" autoPict="0">
                <anchor moveWithCells="1">
                  <from>
                    <xdr:col>9</xdr:col>
                    <xdr:colOff>581025</xdr:colOff>
                    <xdr:row>23</xdr:row>
                    <xdr:rowOff>133350</xdr:rowOff>
                  </from>
                  <to>
                    <xdr:col>9</xdr:col>
                    <xdr:colOff>1047750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0" r:id="rId43" name="Check Box 164">
              <controlPr defaultSize="0" autoFill="0" autoLine="0" autoPict="0">
                <anchor moveWithCells="1">
                  <from>
                    <xdr:col>9</xdr:col>
                    <xdr:colOff>581025</xdr:colOff>
                    <xdr:row>24</xdr:row>
                    <xdr:rowOff>161925</xdr:rowOff>
                  </from>
                  <to>
                    <xdr:col>9</xdr:col>
                    <xdr:colOff>1047750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1" r:id="rId44" name="Check Box 165">
              <controlPr defaultSize="0" autoFill="0" autoLine="0" autoPict="0">
                <anchor moveWithCells="1">
                  <from>
                    <xdr:col>9</xdr:col>
                    <xdr:colOff>581025</xdr:colOff>
                    <xdr:row>25</xdr:row>
                    <xdr:rowOff>171450</xdr:rowOff>
                  </from>
                  <to>
                    <xdr:col>9</xdr:col>
                    <xdr:colOff>1047750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2" r:id="rId45" name="Check Box 166">
              <controlPr defaultSize="0" autoFill="0" autoLine="0" autoPict="0">
                <anchor moveWithCells="1">
                  <from>
                    <xdr:col>9</xdr:col>
                    <xdr:colOff>581025</xdr:colOff>
                    <xdr:row>4</xdr:row>
                    <xdr:rowOff>142875</xdr:rowOff>
                  </from>
                  <to>
                    <xdr:col>9</xdr:col>
                    <xdr:colOff>1095375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3" r:id="rId46" name="Check Box 167">
              <controlPr defaultSize="0" autoFill="0" autoLine="0" autoPict="0">
                <anchor moveWithCells="1">
                  <from>
                    <xdr:col>9</xdr:col>
                    <xdr:colOff>581025</xdr:colOff>
                    <xdr:row>3</xdr:row>
                    <xdr:rowOff>133350</xdr:rowOff>
                  </from>
                  <to>
                    <xdr:col>10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2" r:id="rId47" name="Check Box 186">
              <controlPr defaultSize="0" autoFill="0" autoLine="0" autoPict="0">
                <anchor moveWithCells="1">
                  <from>
                    <xdr:col>10</xdr:col>
                    <xdr:colOff>647700</xdr:colOff>
                    <xdr:row>4</xdr:row>
                    <xdr:rowOff>9525</xdr:rowOff>
                  </from>
                  <to>
                    <xdr:col>10</xdr:col>
                    <xdr:colOff>885825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6" r:id="rId48" name="Check Box 190">
              <controlPr defaultSize="0" autoFill="0" autoLine="0" autoPict="0">
                <anchor moveWithCells="1">
                  <from>
                    <xdr:col>7</xdr:col>
                    <xdr:colOff>533400</xdr:colOff>
                    <xdr:row>3</xdr:row>
                    <xdr:rowOff>133350</xdr:rowOff>
                  </from>
                  <to>
                    <xdr:col>7</xdr:col>
                    <xdr:colOff>933450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7" r:id="rId49" name="Check Box 191">
              <controlPr defaultSize="0" autoFill="0" autoLine="0" autoPict="0">
                <anchor moveWithCells="1">
                  <from>
                    <xdr:col>9</xdr:col>
                    <xdr:colOff>581025</xdr:colOff>
                    <xdr:row>9</xdr:row>
                    <xdr:rowOff>142875</xdr:rowOff>
                  </from>
                  <to>
                    <xdr:col>9</xdr:col>
                    <xdr:colOff>1047750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9" r:id="rId50" name="Check Box 193">
              <controlPr defaultSize="0" autoFill="0" autoLine="0" autoPict="0">
                <anchor moveWithCells="1">
                  <from>
                    <xdr:col>7</xdr:col>
                    <xdr:colOff>514350</xdr:colOff>
                    <xdr:row>27</xdr:row>
                    <xdr:rowOff>9525</xdr:rowOff>
                  </from>
                  <to>
                    <xdr:col>7</xdr:col>
                    <xdr:colOff>790575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0" r:id="rId51" name="Check Box 194">
              <controlPr defaultSize="0" autoFill="0" autoLine="0" autoPict="0">
                <anchor moveWithCells="1">
                  <from>
                    <xdr:col>7</xdr:col>
                    <xdr:colOff>514350</xdr:colOff>
                    <xdr:row>28</xdr:row>
                    <xdr:rowOff>0</xdr:rowOff>
                  </from>
                  <to>
                    <xdr:col>7</xdr:col>
                    <xdr:colOff>819150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1" r:id="rId52" name="Check Box 195">
              <controlPr defaultSize="0" autoFill="0" autoLine="0" autoPict="0">
                <anchor moveWithCells="1">
                  <from>
                    <xdr:col>7</xdr:col>
                    <xdr:colOff>523875</xdr:colOff>
                    <xdr:row>29</xdr:row>
                    <xdr:rowOff>0</xdr:rowOff>
                  </from>
                  <to>
                    <xdr:col>7</xdr:col>
                    <xdr:colOff>857250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2" r:id="rId53" name="Check Box 196">
              <controlPr defaultSize="0" autoFill="0" autoLine="0" autoPict="0">
                <anchor moveWithCells="1">
                  <from>
                    <xdr:col>7</xdr:col>
                    <xdr:colOff>523875</xdr:colOff>
                    <xdr:row>29</xdr:row>
                    <xdr:rowOff>171450</xdr:rowOff>
                  </from>
                  <to>
                    <xdr:col>7</xdr:col>
                    <xdr:colOff>857250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3" r:id="rId54" name="Check Box 197">
              <controlPr defaultSize="0" autoFill="0" autoLine="0" autoPict="0">
                <anchor moveWithCells="1">
                  <from>
                    <xdr:col>7</xdr:col>
                    <xdr:colOff>523875</xdr:colOff>
                    <xdr:row>30</xdr:row>
                    <xdr:rowOff>171450</xdr:rowOff>
                  </from>
                  <to>
                    <xdr:col>7</xdr:col>
                    <xdr:colOff>857250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4" r:id="rId55" name="Check Box 198">
              <controlPr defaultSize="0" autoFill="0" autoLine="0" autoPict="0">
                <anchor moveWithCells="1">
                  <from>
                    <xdr:col>7</xdr:col>
                    <xdr:colOff>571500</xdr:colOff>
                    <xdr:row>32</xdr:row>
                    <xdr:rowOff>0</xdr:rowOff>
                  </from>
                  <to>
                    <xdr:col>7</xdr:col>
                    <xdr:colOff>885825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5" r:id="rId56" name="Check Box 199">
              <controlPr defaultSize="0" autoFill="0" autoLine="0" autoPict="0">
                <anchor moveWithCells="1">
                  <from>
                    <xdr:col>7</xdr:col>
                    <xdr:colOff>552450</xdr:colOff>
                    <xdr:row>33</xdr:row>
                    <xdr:rowOff>9525</xdr:rowOff>
                  </from>
                  <to>
                    <xdr:col>7</xdr:col>
                    <xdr:colOff>847725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6" r:id="rId57" name="Check Box 200">
              <controlPr defaultSize="0" autoFill="0" autoLine="0" autoPict="0">
                <anchor moveWithCells="1">
                  <from>
                    <xdr:col>9</xdr:col>
                    <xdr:colOff>571500</xdr:colOff>
                    <xdr:row>26</xdr:row>
                    <xdr:rowOff>152400</xdr:rowOff>
                  </from>
                  <to>
                    <xdr:col>9</xdr:col>
                    <xdr:colOff>1038225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7" r:id="rId58" name="Check Box 201">
              <controlPr defaultSize="0" autoFill="0" autoLine="0" autoPict="0">
                <anchor moveWithCells="1">
                  <from>
                    <xdr:col>9</xdr:col>
                    <xdr:colOff>571500</xdr:colOff>
                    <xdr:row>27</xdr:row>
                    <xdr:rowOff>161925</xdr:rowOff>
                  </from>
                  <to>
                    <xdr:col>9</xdr:col>
                    <xdr:colOff>1038225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8" r:id="rId59" name="Check Box 202">
              <controlPr defaultSize="0" autoFill="0" autoLine="0" autoPict="0">
                <anchor moveWithCells="1">
                  <from>
                    <xdr:col>9</xdr:col>
                    <xdr:colOff>571500</xdr:colOff>
                    <xdr:row>28</xdr:row>
                    <xdr:rowOff>152400</xdr:rowOff>
                  </from>
                  <to>
                    <xdr:col>9</xdr:col>
                    <xdr:colOff>1038225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9" r:id="rId60" name="Check Box 203">
              <controlPr defaultSize="0" autoFill="0" autoLine="0" autoPict="0">
                <anchor moveWithCells="1">
                  <from>
                    <xdr:col>9</xdr:col>
                    <xdr:colOff>571500</xdr:colOff>
                    <xdr:row>29</xdr:row>
                    <xdr:rowOff>152400</xdr:rowOff>
                  </from>
                  <to>
                    <xdr:col>9</xdr:col>
                    <xdr:colOff>1038225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0" r:id="rId61" name="Check Box 204">
              <controlPr defaultSize="0" autoFill="0" autoLine="0" autoPict="0">
                <anchor moveWithCells="1">
                  <from>
                    <xdr:col>9</xdr:col>
                    <xdr:colOff>571500</xdr:colOff>
                    <xdr:row>30</xdr:row>
                    <xdr:rowOff>152400</xdr:rowOff>
                  </from>
                  <to>
                    <xdr:col>9</xdr:col>
                    <xdr:colOff>1038225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" r:id="rId62" name="Check Box 205">
              <controlPr defaultSize="0" autoFill="0" autoLine="0" autoPict="0">
                <anchor moveWithCells="1">
                  <from>
                    <xdr:col>9</xdr:col>
                    <xdr:colOff>571500</xdr:colOff>
                    <xdr:row>31</xdr:row>
                    <xdr:rowOff>180975</xdr:rowOff>
                  </from>
                  <to>
                    <xdr:col>9</xdr:col>
                    <xdr:colOff>1038225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2" r:id="rId63" name="Check Box 206">
              <controlPr defaultSize="0" autoFill="0" autoLine="0" autoPict="0">
                <anchor moveWithCells="1">
                  <from>
                    <xdr:col>9</xdr:col>
                    <xdr:colOff>571500</xdr:colOff>
                    <xdr:row>32</xdr:row>
                    <xdr:rowOff>171450</xdr:rowOff>
                  </from>
                  <to>
                    <xdr:col>9</xdr:col>
                    <xdr:colOff>1038225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0" r:id="rId64" name="Check Box 214">
              <controlPr defaultSize="0" autoFill="0" autoLine="0" autoPict="0">
                <anchor moveWithCells="1">
                  <from>
                    <xdr:col>7</xdr:col>
                    <xdr:colOff>533400</xdr:colOff>
                    <xdr:row>34</xdr:row>
                    <xdr:rowOff>9525</xdr:rowOff>
                  </from>
                  <to>
                    <xdr:col>7</xdr:col>
                    <xdr:colOff>828675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1" r:id="rId65" name="Check Box 215">
              <controlPr defaultSize="0" autoFill="0" autoLine="0" autoPict="0">
                <anchor moveWithCells="1">
                  <from>
                    <xdr:col>9</xdr:col>
                    <xdr:colOff>571500</xdr:colOff>
                    <xdr:row>33</xdr:row>
                    <xdr:rowOff>152400</xdr:rowOff>
                  </from>
                  <to>
                    <xdr:col>9</xdr:col>
                    <xdr:colOff>1038225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3" r:id="rId66" name="Check Box 217">
              <controlPr defaultSize="0" autoFill="0" autoLine="0" autoPict="0">
                <anchor moveWithCells="1">
                  <from>
                    <xdr:col>10</xdr:col>
                    <xdr:colOff>647700</xdr:colOff>
                    <xdr:row>4</xdr:row>
                    <xdr:rowOff>180975</xdr:rowOff>
                  </from>
                  <to>
                    <xdr:col>10</xdr:col>
                    <xdr:colOff>962025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4" r:id="rId67" name="Check Box 218">
              <controlPr defaultSize="0" autoFill="0" autoLine="0" autoPict="0">
                <anchor moveWithCells="1">
                  <from>
                    <xdr:col>10</xdr:col>
                    <xdr:colOff>647700</xdr:colOff>
                    <xdr:row>6</xdr:row>
                    <xdr:rowOff>9525</xdr:rowOff>
                  </from>
                  <to>
                    <xdr:col>10</xdr:col>
                    <xdr:colOff>876300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5" r:id="rId68" name="Check Box 219">
              <controlPr defaultSize="0" autoFill="0" autoLine="0" autoPict="0">
                <anchor moveWithCells="1">
                  <from>
                    <xdr:col>10</xdr:col>
                    <xdr:colOff>647700</xdr:colOff>
                    <xdr:row>6</xdr:row>
                    <xdr:rowOff>171450</xdr:rowOff>
                  </from>
                  <to>
                    <xdr:col>10</xdr:col>
                    <xdr:colOff>876300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6" r:id="rId69" name="Check Box 220">
              <controlPr defaultSize="0" autoFill="0" autoLine="0" autoPict="0">
                <anchor moveWithCells="1">
                  <from>
                    <xdr:col>10</xdr:col>
                    <xdr:colOff>647700</xdr:colOff>
                    <xdr:row>8</xdr:row>
                    <xdr:rowOff>0</xdr:rowOff>
                  </from>
                  <to>
                    <xdr:col>10</xdr:col>
                    <xdr:colOff>914400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7" r:id="rId70" name="Check Box 221">
              <controlPr defaultSize="0" autoFill="0" autoLine="0" autoPict="0">
                <anchor moveWithCells="1">
                  <from>
                    <xdr:col>10</xdr:col>
                    <xdr:colOff>647700</xdr:colOff>
                    <xdr:row>8</xdr:row>
                    <xdr:rowOff>171450</xdr:rowOff>
                  </from>
                  <to>
                    <xdr:col>10</xdr:col>
                    <xdr:colOff>866775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8" r:id="rId71" name="Check Box 222">
              <controlPr defaultSize="0" autoFill="0" autoLine="0" autoPict="0">
                <anchor moveWithCells="1">
                  <from>
                    <xdr:col>10</xdr:col>
                    <xdr:colOff>647700</xdr:colOff>
                    <xdr:row>9</xdr:row>
                    <xdr:rowOff>171450</xdr:rowOff>
                  </from>
                  <to>
                    <xdr:col>10</xdr:col>
                    <xdr:colOff>942975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9" r:id="rId72" name="Check Box 223">
              <controlPr defaultSize="0" autoFill="0" autoLine="0" autoPict="0">
                <anchor moveWithCells="1">
                  <from>
                    <xdr:col>10</xdr:col>
                    <xdr:colOff>647700</xdr:colOff>
                    <xdr:row>10</xdr:row>
                    <xdr:rowOff>180975</xdr:rowOff>
                  </from>
                  <to>
                    <xdr:col>10</xdr:col>
                    <xdr:colOff>866775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0" r:id="rId73" name="Check Box 224">
              <controlPr defaultSize="0" autoFill="0" autoLine="0" autoPict="0">
                <anchor moveWithCells="1">
                  <from>
                    <xdr:col>10</xdr:col>
                    <xdr:colOff>647700</xdr:colOff>
                    <xdr:row>12</xdr:row>
                    <xdr:rowOff>0</xdr:rowOff>
                  </from>
                  <to>
                    <xdr:col>10</xdr:col>
                    <xdr:colOff>895350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1" r:id="rId74" name="Check Box 225">
              <controlPr defaultSize="0" autoFill="0" autoLine="0" autoPict="0">
                <anchor moveWithCells="1">
                  <from>
                    <xdr:col>10</xdr:col>
                    <xdr:colOff>647700</xdr:colOff>
                    <xdr:row>12</xdr:row>
                    <xdr:rowOff>180975</xdr:rowOff>
                  </from>
                  <to>
                    <xdr:col>10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2" r:id="rId75" name="Check Box 226">
              <controlPr defaultSize="0" autoFill="0" autoLine="0" autoPict="0">
                <anchor moveWithCells="1">
                  <from>
                    <xdr:col>10</xdr:col>
                    <xdr:colOff>647700</xdr:colOff>
                    <xdr:row>14</xdr:row>
                    <xdr:rowOff>0</xdr:rowOff>
                  </from>
                  <to>
                    <xdr:col>10</xdr:col>
                    <xdr:colOff>904875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3" r:id="rId76" name="Check Box 227">
              <controlPr defaultSize="0" autoFill="0" autoLine="0" autoPict="0">
                <anchor moveWithCells="1">
                  <from>
                    <xdr:col>10</xdr:col>
                    <xdr:colOff>647700</xdr:colOff>
                    <xdr:row>15</xdr:row>
                    <xdr:rowOff>9525</xdr:rowOff>
                  </from>
                  <to>
                    <xdr:col>10</xdr:col>
                    <xdr:colOff>895350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4" r:id="rId77" name="Check Box 228">
              <controlPr defaultSize="0" autoFill="0" autoLine="0" autoPict="0">
                <anchor moveWithCells="1">
                  <from>
                    <xdr:col>10</xdr:col>
                    <xdr:colOff>647700</xdr:colOff>
                    <xdr:row>16</xdr:row>
                    <xdr:rowOff>0</xdr:rowOff>
                  </from>
                  <to>
                    <xdr:col>10</xdr:col>
                    <xdr:colOff>952500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5" r:id="rId78" name="Check Box 229">
              <controlPr defaultSize="0" autoFill="0" autoLine="0" autoPict="0">
                <anchor moveWithCells="1">
                  <from>
                    <xdr:col>10</xdr:col>
                    <xdr:colOff>647700</xdr:colOff>
                    <xdr:row>17</xdr:row>
                    <xdr:rowOff>0</xdr:rowOff>
                  </from>
                  <to>
                    <xdr:col>10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6" r:id="rId79" name="Check Box 230">
              <controlPr defaultSize="0" autoFill="0" autoLine="0" autoPict="0">
                <anchor moveWithCells="1">
                  <from>
                    <xdr:col>10</xdr:col>
                    <xdr:colOff>647700</xdr:colOff>
                    <xdr:row>18</xdr:row>
                    <xdr:rowOff>0</xdr:rowOff>
                  </from>
                  <to>
                    <xdr:col>10</xdr:col>
                    <xdr:colOff>847725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7" r:id="rId80" name="Check Box 231">
              <controlPr defaultSize="0" autoFill="0" autoLine="0" autoPict="0">
                <anchor moveWithCells="1">
                  <from>
                    <xdr:col>10</xdr:col>
                    <xdr:colOff>647700</xdr:colOff>
                    <xdr:row>19</xdr:row>
                    <xdr:rowOff>0</xdr:rowOff>
                  </from>
                  <to>
                    <xdr:col>10</xdr:col>
                    <xdr:colOff>885825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8" r:id="rId81" name="Check Box 232">
              <controlPr defaultSize="0" autoFill="0" autoLine="0" autoPict="0">
                <anchor moveWithCells="1">
                  <from>
                    <xdr:col>10</xdr:col>
                    <xdr:colOff>647700</xdr:colOff>
                    <xdr:row>19</xdr:row>
                    <xdr:rowOff>180975</xdr:rowOff>
                  </from>
                  <to>
                    <xdr:col>10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9" r:id="rId82" name="Check Box 233">
              <controlPr defaultSize="0" autoFill="0" autoLine="0" autoPict="0">
                <anchor moveWithCells="1">
                  <from>
                    <xdr:col>10</xdr:col>
                    <xdr:colOff>647700</xdr:colOff>
                    <xdr:row>20</xdr:row>
                    <xdr:rowOff>171450</xdr:rowOff>
                  </from>
                  <to>
                    <xdr:col>10</xdr:col>
                    <xdr:colOff>914400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0" r:id="rId83" name="Check Box 234">
              <controlPr defaultSize="0" autoFill="0" autoLine="0" autoPict="0">
                <anchor moveWithCells="1">
                  <from>
                    <xdr:col>10</xdr:col>
                    <xdr:colOff>647700</xdr:colOff>
                    <xdr:row>21</xdr:row>
                    <xdr:rowOff>180975</xdr:rowOff>
                  </from>
                  <to>
                    <xdr:col>10</xdr:col>
                    <xdr:colOff>866775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1" r:id="rId84" name="Check Box 235">
              <controlPr defaultSize="0" autoFill="0" autoLine="0" autoPict="0">
                <anchor moveWithCells="1">
                  <from>
                    <xdr:col>10</xdr:col>
                    <xdr:colOff>647700</xdr:colOff>
                    <xdr:row>23</xdr:row>
                    <xdr:rowOff>0</xdr:rowOff>
                  </from>
                  <to>
                    <xdr:col>10</xdr:col>
                    <xdr:colOff>876300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2" r:id="rId85" name="Check Box 236">
              <controlPr defaultSize="0" autoFill="0" autoLine="0" autoPict="0">
                <anchor moveWithCells="1">
                  <from>
                    <xdr:col>10</xdr:col>
                    <xdr:colOff>647700</xdr:colOff>
                    <xdr:row>24</xdr:row>
                    <xdr:rowOff>0</xdr:rowOff>
                  </from>
                  <to>
                    <xdr:col>10</xdr:col>
                    <xdr:colOff>876300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3" r:id="rId86" name="Check Box 237">
              <controlPr defaultSize="0" autoFill="0" autoLine="0" autoPict="0">
                <anchor moveWithCells="1">
                  <from>
                    <xdr:col>10</xdr:col>
                    <xdr:colOff>647700</xdr:colOff>
                    <xdr:row>24</xdr:row>
                    <xdr:rowOff>180975</xdr:rowOff>
                  </from>
                  <to>
                    <xdr:col>10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4" r:id="rId87" name="Check Box 238">
              <controlPr defaultSize="0" autoFill="0" autoLine="0" autoPict="0">
                <anchor moveWithCells="1">
                  <from>
                    <xdr:col>10</xdr:col>
                    <xdr:colOff>647700</xdr:colOff>
                    <xdr:row>26</xdr:row>
                    <xdr:rowOff>0</xdr:rowOff>
                  </from>
                  <to>
                    <xdr:col>10</xdr:col>
                    <xdr:colOff>876300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88" name="Check Box 239">
              <controlPr defaultSize="0" autoFill="0" autoLine="0" autoPict="0">
                <anchor moveWithCells="1">
                  <from>
                    <xdr:col>10</xdr:col>
                    <xdr:colOff>647700</xdr:colOff>
                    <xdr:row>26</xdr:row>
                    <xdr:rowOff>171450</xdr:rowOff>
                  </from>
                  <to>
                    <xdr:col>10</xdr:col>
                    <xdr:colOff>933450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89" name="Check Box 240">
              <controlPr defaultSize="0" autoFill="0" autoLine="0" autoPict="0">
                <anchor moveWithCells="1">
                  <from>
                    <xdr:col>10</xdr:col>
                    <xdr:colOff>647700</xdr:colOff>
                    <xdr:row>27</xdr:row>
                    <xdr:rowOff>171450</xdr:rowOff>
                  </from>
                  <to>
                    <xdr:col>10</xdr:col>
                    <xdr:colOff>933450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90" name="Check Box 241">
              <controlPr defaultSize="0" autoFill="0" autoLine="0" autoPict="0">
                <anchor moveWithCells="1">
                  <from>
                    <xdr:col>10</xdr:col>
                    <xdr:colOff>647700</xdr:colOff>
                    <xdr:row>29</xdr:row>
                    <xdr:rowOff>0</xdr:rowOff>
                  </from>
                  <to>
                    <xdr:col>10</xdr:col>
                    <xdr:colOff>885825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91" name="Check Box 242">
              <controlPr defaultSize="0" autoFill="0" autoLine="0" autoPict="0">
                <anchor moveWithCells="1">
                  <from>
                    <xdr:col>10</xdr:col>
                    <xdr:colOff>647700</xdr:colOff>
                    <xdr:row>29</xdr:row>
                    <xdr:rowOff>180975</xdr:rowOff>
                  </from>
                  <to>
                    <xdr:col>10</xdr:col>
                    <xdr:colOff>904875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92" name="Check Box 243">
              <controlPr defaultSize="0" autoFill="0" autoLine="0" autoPict="0">
                <anchor moveWithCells="1">
                  <from>
                    <xdr:col>10</xdr:col>
                    <xdr:colOff>647700</xdr:colOff>
                    <xdr:row>31</xdr:row>
                    <xdr:rowOff>0</xdr:rowOff>
                  </from>
                  <to>
                    <xdr:col>10</xdr:col>
                    <xdr:colOff>923925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93" name="Check Box 244">
              <controlPr defaultSize="0" autoFill="0" autoLine="0" autoPict="0">
                <anchor moveWithCells="1">
                  <from>
                    <xdr:col>10</xdr:col>
                    <xdr:colOff>647700</xdr:colOff>
                    <xdr:row>31</xdr:row>
                    <xdr:rowOff>171450</xdr:rowOff>
                  </from>
                  <to>
                    <xdr:col>10</xdr:col>
                    <xdr:colOff>923925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94" name="Check Box 245">
              <controlPr defaultSize="0" autoFill="0" autoLine="0" autoPict="0">
                <anchor moveWithCells="1">
                  <from>
                    <xdr:col>10</xdr:col>
                    <xdr:colOff>647700</xdr:colOff>
                    <xdr:row>32</xdr:row>
                    <xdr:rowOff>171450</xdr:rowOff>
                  </from>
                  <to>
                    <xdr:col>10</xdr:col>
                    <xdr:colOff>895350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95" name="Check Box 246">
              <controlPr defaultSize="0" autoFill="0" autoLine="0" autoPict="0">
                <anchor moveWithCells="1">
                  <from>
                    <xdr:col>10</xdr:col>
                    <xdr:colOff>647700</xdr:colOff>
                    <xdr:row>33</xdr:row>
                    <xdr:rowOff>171450</xdr:rowOff>
                  </from>
                  <to>
                    <xdr:col>10</xdr:col>
                    <xdr:colOff>962025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96" name="Check Box 247">
              <controlPr defaultSize="0" autoFill="0" autoLine="0" autoPict="0">
                <anchor moveWithCells="1">
                  <from>
                    <xdr:col>8</xdr:col>
                    <xdr:colOff>504825</xdr:colOff>
                    <xdr:row>6</xdr:row>
                    <xdr:rowOff>180975</xdr:rowOff>
                  </from>
                  <to>
                    <xdr:col>8</xdr:col>
                    <xdr:colOff>895350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97" name="Check Box 248">
              <controlPr defaultSize="0" autoFill="0" autoLine="0" autoPict="0">
                <anchor moveWithCells="1">
                  <from>
                    <xdr:col>8</xdr:col>
                    <xdr:colOff>504825</xdr:colOff>
                    <xdr:row>7</xdr:row>
                    <xdr:rowOff>180975</xdr:rowOff>
                  </from>
                  <to>
                    <xdr:col>8</xdr:col>
                    <xdr:colOff>819150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98" name="Check Box 249">
              <controlPr defaultSize="0" autoFill="0" autoLine="0" autoPict="0">
                <anchor moveWithCells="1">
                  <from>
                    <xdr:col>8</xdr:col>
                    <xdr:colOff>504825</xdr:colOff>
                    <xdr:row>8</xdr:row>
                    <xdr:rowOff>180975</xdr:rowOff>
                  </from>
                  <to>
                    <xdr:col>8</xdr:col>
                    <xdr:colOff>819150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99" name="Check Box 250">
              <controlPr defaultSize="0" autoFill="0" autoLine="0" autoPict="0">
                <anchor moveWithCells="1">
                  <from>
                    <xdr:col>8</xdr:col>
                    <xdr:colOff>504825</xdr:colOff>
                    <xdr:row>9</xdr:row>
                    <xdr:rowOff>152400</xdr:rowOff>
                  </from>
                  <to>
                    <xdr:col>8</xdr:col>
                    <xdr:colOff>819150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00" name="Check Box 251">
              <controlPr defaultSize="0" autoFill="0" autoLine="0" autoPict="0">
                <anchor moveWithCells="1">
                  <from>
                    <xdr:col>8</xdr:col>
                    <xdr:colOff>504825</xdr:colOff>
                    <xdr:row>10</xdr:row>
                    <xdr:rowOff>152400</xdr:rowOff>
                  </from>
                  <to>
                    <xdr:col>8</xdr:col>
                    <xdr:colOff>838200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01" name="Check Box 252">
              <controlPr defaultSize="0" autoFill="0" autoLine="0" autoPict="0">
                <anchor moveWithCells="1">
                  <from>
                    <xdr:col>8</xdr:col>
                    <xdr:colOff>504825</xdr:colOff>
                    <xdr:row>11</xdr:row>
                    <xdr:rowOff>161925</xdr:rowOff>
                  </from>
                  <to>
                    <xdr:col>8</xdr:col>
                    <xdr:colOff>847725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02" name="Check Box 253">
              <controlPr defaultSize="0" autoFill="0" autoLine="0" autoPict="0">
                <anchor moveWithCells="1">
                  <from>
                    <xdr:col>8</xdr:col>
                    <xdr:colOff>504825</xdr:colOff>
                    <xdr:row>12</xdr:row>
                    <xdr:rowOff>180975</xdr:rowOff>
                  </from>
                  <to>
                    <xdr:col>8</xdr:col>
                    <xdr:colOff>809625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03" name="Check Box 254">
              <controlPr defaultSize="0" autoFill="0" autoLine="0" autoPict="0">
                <anchor moveWithCells="1">
                  <from>
                    <xdr:col>8</xdr:col>
                    <xdr:colOff>504825</xdr:colOff>
                    <xdr:row>13</xdr:row>
                    <xdr:rowOff>171450</xdr:rowOff>
                  </from>
                  <to>
                    <xdr:col>8</xdr:col>
                    <xdr:colOff>819150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04" name="Check Box 255">
              <controlPr defaultSize="0" autoFill="0" autoLine="0" autoPict="0">
                <anchor moveWithCells="1">
                  <from>
                    <xdr:col>8</xdr:col>
                    <xdr:colOff>504825</xdr:colOff>
                    <xdr:row>14</xdr:row>
                    <xdr:rowOff>171450</xdr:rowOff>
                  </from>
                  <to>
                    <xdr:col>8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05" name="Check Box 256">
              <controlPr defaultSize="0" autoFill="0" autoLine="0" autoPict="0">
                <anchor moveWithCells="1">
                  <from>
                    <xdr:col>8</xdr:col>
                    <xdr:colOff>504825</xdr:colOff>
                    <xdr:row>16</xdr:row>
                    <xdr:rowOff>0</xdr:rowOff>
                  </from>
                  <to>
                    <xdr:col>8</xdr:col>
                    <xdr:colOff>838200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06" name="Check Box 257">
              <controlPr defaultSize="0" autoFill="0" autoLine="0" autoPict="0">
                <anchor moveWithCells="1">
                  <from>
                    <xdr:col>8</xdr:col>
                    <xdr:colOff>504825</xdr:colOff>
                    <xdr:row>16</xdr:row>
                    <xdr:rowOff>180975</xdr:rowOff>
                  </from>
                  <to>
                    <xdr:col>8</xdr:col>
                    <xdr:colOff>866775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07" name="Check Box 258">
              <controlPr defaultSize="0" autoFill="0" autoLine="0" autoPict="0">
                <anchor moveWithCells="1">
                  <from>
                    <xdr:col>8</xdr:col>
                    <xdr:colOff>504825</xdr:colOff>
                    <xdr:row>17</xdr:row>
                    <xdr:rowOff>171450</xdr:rowOff>
                  </from>
                  <to>
                    <xdr:col>8</xdr:col>
                    <xdr:colOff>838200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08" name="Check Box 259">
              <controlPr defaultSize="0" autoFill="0" autoLine="0" autoPict="0">
                <anchor moveWithCells="1">
                  <from>
                    <xdr:col>8</xdr:col>
                    <xdr:colOff>504825</xdr:colOff>
                    <xdr:row>18</xdr:row>
                    <xdr:rowOff>180975</xdr:rowOff>
                  </from>
                  <to>
                    <xdr:col>8</xdr:col>
                    <xdr:colOff>809625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09" name="Check Box 260">
              <controlPr defaultSize="0" autoFill="0" autoLine="0" autoPict="0">
                <anchor moveWithCells="1">
                  <from>
                    <xdr:col>8</xdr:col>
                    <xdr:colOff>504825</xdr:colOff>
                    <xdr:row>20</xdr:row>
                    <xdr:rowOff>9525</xdr:rowOff>
                  </from>
                  <to>
                    <xdr:col>8</xdr:col>
                    <xdr:colOff>781050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10" name="Check Box 261">
              <controlPr defaultSize="0" autoFill="0" autoLine="0" autoPict="0">
                <anchor moveWithCells="1">
                  <from>
                    <xdr:col>8</xdr:col>
                    <xdr:colOff>504825</xdr:colOff>
                    <xdr:row>20</xdr:row>
                    <xdr:rowOff>161925</xdr:rowOff>
                  </from>
                  <to>
                    <xdr:col>8</xdr:col>
                    <xdr:colOff>809625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11" name="Check Box 262">
              <controlPr defaultSize="0" autoFill="0" autoLine="0" autoPict="0">
                <anchor moveWithCells="1">
                  <from>
                    <xdr:col>8</xdr:col>
                    <xdr:colOff>504825</xdr:colOff>
                    <xdr:row>21</xdr:row>
                    <xdr:rowOff>161925</xdr:rowOff>
                  </from>
                  <to>
                    <xdr:col>8</xdr:col>
                    <xdr:colOff>838200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12" name="Check Box 263">
              <controlPr defaultSize="0" autoFill="0" autoLine="0" autoPict="0">
                <anchor moveWithCells="1">
                  <from>
                    <xdr:col>8</xdr:col>
                    <xdr:colOff>504825</xdr:colOff>
                    <xdr:row>22</xdr:row>
                    <xdr:rowOff>161925</xdr:rowOff>
                  </from>
                  <to>
                    <xdr:col>8</xdr:col>
                    <xdr:colOff>838200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13" name="Check Box 264">
              <controlPr defaultSize="0" autoFill="0" autoLine="0" autoPict="0">
                <anchor moveWithCells="1">
                  <from>
                    <xdr:col>8</xdr:col>
                    <xdr:colOff>504825</xdr:colOff>
                    <xdr:row>23</xdr:row>
                    <xdr:rowOff>180975</xdr:rowOff>
                  </from>
                  <to>
                    <xdr:col>8</xdr:col>
                    <xdr:colOff>838200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14" name="Check Box 265">
              <controlPr defaultSize="0" autoFill="0" autoLine="0" autoPict="0">
                <anchor moveWithCells="1">
                  <from>
                    <xdr:col>8</xdr:col>
                    <xdr:colOff>504825</xdr:colOff>
                    <xdr:row>24</xdr:row>
                    <xdr:rowOff>171450</xdr:rowOff>
                  </from>
                  <to>
                    <xdr:col>8</xdr:col>
                    <xdr:colOff>819150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15" name="Check Box 266">
              <controlPr defaultSize="0" autoFill="0" autoLine="0" autoPict="0">
                <anchor moveWithCells="1">
                  <from>
                    <xdr:col>8</xdr:col>
                    <xdr:colOff>504825</xdr:colOff>
                    <xdr:row>25</xdr:row>
                    <xdr:rowOff>180975</xdr:rowOff>
                  </from>
                  <to>
                    <xdr:col>8</xdr:col>
                    <xdr:colOff>800100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16" name="Check Box 267">
              <controlPr defaultSize="0" autoFill="0" autoLine="0" autoPict="0">
                <anchor moveWithCells="1">
                  <from>
                    <xdr:col>8</xdr:col>
                    <xdr:colOff>504825</xdr:colOff>
                    <xdr:row>5</xdr:row>
                    <xdr:rowOff>180975</xdr:rowOff>
                  </from>
                  <to>
                    <xdr:col>8</xdr:col>
                    <xdr:colOff>933450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17" name="Check Box 268">
              <controlPr defaultSize="0" autoFill="0" autoLine="0" autoPict="0">
                <anchor moveWithCells="1">
                  <from>
                    <xdr:col>8</xdr:col>
                    <xdr:colOff>504825</xdr:colOff>
                    <xdr:row>4</xdr:row>
                    <xdr:rowOff>161925</xdr:rowOff>
                  </from>
                  <to>
                    <xdr:col>8</xdr:col>
                    <xdr:colOff>904875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18" name="Check Box 269">
              <controlPr defaultSize="0" autoFill="0" autoLine="0" autoPict="0">
                <anchor moveWithCells="1">
                  <from>
                    <xdr:col>8</xdr:col>
                    <xdr:colOff>504825</xdr:colOff>
                    <xdr:row>3</xdr:row>
                    <xdr:rowOff>161925</xdr:rowOff>
                  </from>
                  <to>
                    <xdr:col>8</xdr:col>
                    <xdr:colOff>904875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6" r:id="rId119" name="Check Box 270">
              <controlPr defaultSize="0" autoFill="0" autoLine="0" autoPict="0">
                <anchor moveWithCells="1">
                  <from>
                    <xdr:col>8</xdr:col>
                    <xdr:colOff>495300</xdr:colOff>
                    <xdr:row>27</xdr:row>
                    <xdr:rowOff>28575</xdr:rowOff>
                  </from>
                  <to>
                    <xdr:col>8</xdr:col>
                    <xdr:colOff>771525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7" r:id="rId120" name="Check Box 271">
              <controlPr defaultSize="0" autoFill="0" autoLine="0" autoPict="0">
                <anchor moveWithCells="1">
                  <from>
                    <xdr:col>8</xdr:col>
                    <xdr:colOff>485775</xdr:colOff>
                    <xdr:row>28</xdr:row>
                    <xdr:rowOff>9525</xdr:rowOff>
                  </from>
                  <to>
                    <xdr:col>8</xdr:col>
                    <xdr:colOff>790575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8" r:id="rId121" name="Check Box 272">
              <controlPr defaultSize="0" autoFill="0" autoLine="0" autoPict="0">
                <anchor moveWithCells="1">
                  <from>
                    <xdr:col>8</xdr:col>
                    <xdr:colOff>495300</xdr:colOff>
                    <xdr:row>28</xdr:row>
                    <xdr:rowOff>180975</xdr:rowOff>
                  </from>
                  <to>
                    <xdr:col>8</xdr:col>
                    <xdr:colOff>828675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9" r:id="rId122" name="Check Box 273">
              <controlPr defaultSize="0" autoFill="0" autoLine="0" autoPict="0">
                <anchor moveWithCells="1">
                  <from>
                    <xdr:col>8</xdr:col>
                    <xdr:colOff>495300</xdr:colOff>
                    <xdr:row>29</xdr:row>
                    <xdr:rowOff>180975</xdr:rowOff>
                  </from>
                  <to>
                    <xdr:col>8</xdr:col>
                    <xdr:colOff>828675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0" r:id="rId123" name="Check Box 274">
              <controlPr defaultSize="0" autoFill="0" autoLine="0" autoPict="0">
                <anchor mov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828675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1" r:id="rId124" name="Check Box 275">
              <controlPr defaultSize="0" autoFill="0" autoLine="0" autoPict="0">
                <anchor moveWithCells="1">
                  <from>
                    <xdr:col>8</xdr:col>
                    <xdr:colOff>495300</xdr:colOff>
                    <xdr:row>32</xdr:row>
                    <xdr:rowOff>0</xdr:rowOff>
                  </from>
                  <to>
                    <xdr:col>8</xdr:col>
                    <xdr:colOff>809625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2" r:id="rId125" name="Check Box 276">
              <controlPr defaultSize="0" autoFill="0" autoLine="0" autoPict="0">
                <anchor moveWithCells="1">
                  <from>
                    <xdr:col>8</xdr:col>
                    <xdr:colOff>495300</xdr:colOff>
                    <xdr:row>32</xdr:row>
                    <xdr:rowOff>180975</xdr:rowOff>
                  </from>
                  <to>
                    <xdr:col>8</xdr:col>
                    <xdr:colOff>790575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3" r:id="rId126" name="Check Box 277">
              <controlPr defaultSize="0" autoFill="0" autoLine="0" autoPict="0">
                <anchor moveWithCells="1">
                  <from>
                    <xdr:col>8</xdr:col>
                    <xdr:colOff>495300</xdr:colOff>
                    <xdr:row>33</xdr:row>
                    <xdr:rowOff>161925</xdr:rowOff>
                  </from>
                  <to>
                    <xdr:col>8</xdr:col>
                    <xdr:colOff>790575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4" r:id="rId127" name="Button 278">
              <controlPr defaultSize="0" print="0" autoFill="0" autoPict="0" macro="[0]!Button278_Click">
                <anchor moveWithCells="1" sizeWithCells="1">
                  <from>
                    <xdr:col>11</xdr:col>
                    <xdr:colOff>866775</xdr:colOff>
                    <xdr:row>0</xdr:row>
                    <xdr:rowOff>152400</xdr:rowOff>
                  </from>
                  <to>
                    <xdr:col>13</xdr:col>
                    <xdr:colOff>390525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R55"/>
  <sheetViews>
    <sheetView workbookViewId="0">
      <selection activeCell="E4" sqref="E4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8" width="21.85546875" customWidth="1"/>
    <col min="9" max="9" width="21.28515625" customWidth="1"/>
    <col min="10" max="10" width="25.140625" customWidth="1"/>
    <col min="11" max="11" width="30.28515625" customWidth="1"/>
    <col min="12" max="12" width="18.7109375" customWidth="1"/>
    <col min="13" max="13" width="15.42578125" customWidth="1"/>
  </cols>
  <sheetData>
    <row r="1" spans="2:18" ht="23.25">
      <c r="B1" s="87" t="s">
        <v>276</v>
      </c>
    </row>
    <row r="4" spans="2:18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222</v>
      </c>
      <c r="I4" s="32" t="s">
        <v>223</v>
      </c>
      <c r="J4" s="32" t="s">
        <v>224</v>
      </c>
      <c r="K4" s="32" t="s">
        <v>225</v>
      </c>
      <c r="L4" s="32" t="s">
        <v>236</v>
      </c>
      <c r="M4" s="32" t="s">
        <v>6</v>
      </c>
    </row>
    <row r="5" spans="2:18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OFFSET(Members!G80,Members!$L$1,0)</f>
        <v>15</v>
      </c>
      <c r="G5" s="79">
        <f ca="1">OFFSET(Members!G41,Members!$L$1,0)</f>
        <v>20</v>
      </c>
      <c r="M5" s="79">
        <f ca="1">SUM(N5*'Price of Tickets'!$I$21,O5*'Price of Tickets'!$I$22,P5*'Price of Tickets'!$I$23,Q5*'Price of Tickets'!$I$20,R5*'Price of Tickets'!$I$24+F5+G5)</f>
        <v>133.5</v>
      </c>
      <c r="N5" s="94" t="b">
        <v>1</v>
      </c>
      <c r="O5" s="94" t="b">
        <v>1</v>
      </c>
      <c r="P5" s="94" t="b">
        <v>1</v>
      </c>
      <c r="Q5" s="94" t="b">
        <v>1</v>
      </c>
      <c r="R5" s="94" t="b">
        <v>1</v>
      </c>
    </row>
    <row r="6" spans="2:18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OFFSET(Members!G81,Members!$L$1,0)</f>
        <v>5</v>
      </c>
      <c r="G6" s="79">
        <f ca="1">OFFSET(Members!G42,Members!$L$1,0)</f>
        <v>7.4</v>
      </c>
      <c r="M6" s="79">
        <f ca="1">SUM(N6*'Price of Tickets'!$I$114,O6*'Price of Tickets'!$I$115,P6*'Price of Tickets'!$I$116,Q6*'Price of Tickets'!$I$113,R6*'Price of Tickets'!$I$117+F6+G6)</f>
        <v>61.65</v>
      </c>
      <c r="N6" s="94" t="b">
        <v>1</v>
      </c>
      <c r="O6" s="94" t="b">
        <v>1</v>
      </c>
      <c r="P6" s="94" t="b">
        <v>1</v>
      </c>
      <c r="Q6" s="94" t="b">
        <v>1</v>
      </c>
      <c r="R6" s="94" t="b">
        <v>1</v>
      </c>
    </row>
    <row r="7" spans="2:18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OFFSET(Members!G82,Members!$L$1,0)</f>
        <v>15</v>
      </c>
      <c r="G7" s="79">
        <f ca="1">OFFSET(Members!G43,Members!$L$1,0)</f>
        <v>20</v>
      </c>
      <c r="M7" s="89">
        <f ca="1">SUM(N7*'Price of Tickets'!$I$21,O7*'Price of Tickets'!$I$22,P7*'Price of Tickets'!$I$23,Q7*'Price of Tickets'!$I$20,R7*'Price of Tickets'!$I$24+F7+G7)</f>
        <v>133.5</v>
      </c>
      <c r="N7" s="94" t="b">
        <v>1</v>
      </c>
      <c r="O7" s="94" t="b">
        <v>1</v>
      </c>
      <c r="P7" s="94" t="b">
        <v>1</v>
      </c>
      <c r="Q7" s="94" t="b">
        <v>1</v>
      </c>
      <c r="R7" s="94" t="b">
        <v>1</v>
      </c>
    </row>
    <row r="8" spans="2:18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OFFSET(Members!G83,Members!$L$1,0)</f>
        <v>7.5</v>
      </c>
      <c r="G8" s="79">
        <f ca="1">OFFSET(Members!G44,Members!$L$1,0)</f>
        <v>11</v>
      </c>
      <c r="M8" s="89">
        <f ca="1">SUM(N8*'Price of Tickets'!$H$77,O8*'Price of Tickets'!$H$78,P8*'Price of Tickets'!$H$79,Q8*'Price of Tickets'!$H$76,R8*'Price of Tickets'!$I$80+F8+G8)</f>
        <v>90.275000000000006</v>
      </c>
      <c r="N8" s="94" t="b">
        <v>1</v>
      </c>
      <c r="O8" s="94" t="b">
        <v>1</v>
      </c>
      <c r="P8" s="94" t="b">
        <v>1</v>
      </c>
      <c r="Q8" s="94" t="b">
        <v>1</v>
      </c>
      <c r="R8" s="94" t="b">
        <v>1</v>
      </c>
    </row>
    <row r="9" spans="2:18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OFFSET(Members!G84,Members!$L$1,0)</f>
        <v>15</v>
      </c>
      <c r="G9" s="79">
        <f ca="1">OFFSET(Members!G45,Members!$L$1,0)</f>
        <v>20</v>
      </c>
      <c r="M9" s="89">
        <f ca="1">SUM(N9*'Price of Tickets'!$I$21,O9*'Price of Tickets'!$I$22,P9*'Price of Tickets'!$I$23,Q9*'Price of Tickets'!$I$20,R9*'Price of Tickets'!$I$24+F9+G9)</f>
        <v>133.5</v>
      </c>
      <c r="N9" s="94" t="b">
        <v>1</v>
      </c>
      <c r="O9" s="94" t="b">
        <v>1</v>
      </c>
      <c r="P9" s="94" t="b">
        <v>1</v>
      </c>
      <c r="Q9" s="94" t="b">
        <v>1</v>
      </c>
      <c r="R9" s="94" t="b">
        <v>1</v>
      </c>
    </row>
    <row r="10" spans="2:18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OFFSET(Members!G85,Members!$L$1,0)</f>
        <v>5</v>
      </c>
      <c r="G10" s="79">
        <f ca="1">OFFSET(Members!G46,Members!$L$1,0)</f>
        <v>7.4</v>
      </c>
      <c r="M10" s="89">
        <f ca="1">SUM(N10*'Price of Tickets'!$I$114,O10*'Price of Tickets'!$I$115,P10*'Price of Tickets'!$I$116,Q10*'Price of Tickets'!$I$113,R10*'Price of Tickets'!$I$117+F10+G10)</f>
        <v>61.65</v>
      </c>
      <c r="N10" s="94" t="b">
        <v>1</v>
      </c>
      <c r="O10" s="94" t="b">
        <v>1</v>
      </c>
      <c r="P10" s="94" t="b">
        <v>1</v>
      </c>
      <c r="Q10" s="94" t="b">
        <v>1</v>
      </c>
      <c r="R10" s="94" t="b">
        <v>1</v>
      </c>
    </row>
    <row r="11" spans="2:18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OFFSET(Members!G86,Members!$L$1,0)</f>
        <v>10</v>
      </c>
      <c r="G11" s="79">
        <f ca="1">OFFSET(Members!G47,Members!$L$1,0)</f>
        <v>14.5</v>
      </c>
      <c r="M11" s="89">
        <f ca="1">SUM(N11*'Price of Tickets'!$H$49,O11*'Price of Tickets'!$H$50,P11*'Price of Tickets'!$H$51,Q11*'Price of Tickets'!$H$48,R11*'Price of Tickets'!$I$52+F11+G11)</f>
        <v>102.8</v>
      </c>
      <c r="N11" s="94" t="b">
        <v>1</v>
      </c>
      <c r="O11" s="94" t="b">
        <v>1</v>
      </c>
      <c r="P11" s="94" t="b">
        <v>1</v>
      </c>
      <c r="Q11" s="94" t="b">
        <v>1</v>
      </c>
      <c r="R11" s="94" t="b">
        <v>1</v>
      </c>
    </row>
    <row r="12" spans="2:18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OFFSET(Members!G87,Members!$L$1,0)</f>
        <v>10</v>
      </c>
      <c r="G12" s="79">
        <f ca="1">OFFSET(Members!G48,Members!$L$1,0)</f>
        <v>14.5</v>
      </c>
      <c r="M12" s="89">
        <f ca="1">SUM(N12*'Price of Tickets'!$H$49,O12*'Price of Tickets'!$H$50,P12*'Price of Tickets'!$H$51,Q12*'Price of Tickets'!$H$48,R12*'Price of Tickets'!$I$52+F12+G12)</f>
        <v>102.8</v>
      </c>
      <c r="N12" s="94" t="b">
        <v>1</v>
      </c>
      <c r="O12" s="94" t="b">
        <v>1</v>
      </c>
      <c r="P12" s="94" t="b">
        <v>1</v>
      </c>
      <c r="Q12" s="94" t="b">
        <v>1</v>
      </c>
      <c r="R12" s="94" t="b">
        <v>1</v>
      </c>
    </row>
    <row r="13" spans="2:18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OFFSET(Members!G88,Members!$L$1,0)</f>
        <v>15</v>
      </c>
      <c r="G13" s="79">
        <f ca="1">OFFSET(Members!G49,Members!$L$1,0)</f>
        <v>20</v>
      </c>
      <c r="M13" s="89">
        <f ca="1">SUM(N13*'Price of Tickets'!$I$21,O13*'Price of Tickets'!$I$22,P13*'Price of Tickets'!$I$23,Q13*'Price of Tickets'!$I$20,R13*'Price of Tickets'!$I$24+F13+G13)</f>
        <v>133.5</v>
      </c>
      <c r="N13" s="94" t="b">
        <v>1</v>
      </c>
      <c r="O13" s="94" t="b">
        <v>1</v>
      </c>
      <c r="P13" s="94" t="b">
        <v>1</v>
      </c>
      <c r="Q13" s="94" t="b">
        <v>1</v>
      </c>
      <c r="R13" s="94" t="b">
        <v>1</v>
      </c>
    </row>
    <row r="14" spans="2:18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OFFSET(Members!G89,Members!$L$1,0)</f>
        <v>15</v>
      </c>
      <c r="G14" s="79">
        <f ca="1">OFFSET(Members!G50,Members!$L$1,0)</f>
        <v>20</v>
      </c>
      <c r="M14" s="89">
        <f ca="1">SUM(N14*'Price of Tickets'!$I$21,O14*'Price of Tickets'!$I$22,P14*'Price of Tickets'!$I$23,Q14*'Price of Tickets'!$I$20,R14*'Price of Tickets'!$I$24+F14+G14)</f>
        <v>133.5</v>
      </c>
      <c r="N14" s="94" t="b">
        <v>1</v>
      </c>
      <c r="O14" s="94" t="b">
        <v>1</v>
      </c>
      <c r="P14" s="94" t="b">
        <v>1</v>
      </c>
      <c r="Q14" s="94" t="b">
        <v>1</v>
      </c>
      <c r="R14" s="94" t="b">
        <v>1</v>
      </c>
    </row>
    <row r="15" spans="2:18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OFFSET(Members!G90,Members!$L$1,0)</f>
        <v>7.5</v>
      </c>
      <c r="G15" s="79">
        <f ca="1">OFFSET(Members!G51,Members!$L$1,0)</f>
        <v>11</v>
      </c>
      <c r="M15" s="89">
        <f ca="1">SUM(N15*'Price of Tickets'!$H$77,O15*'Price of Tickets'!$H$78,P15*'Price of Tickets'!$H$79,Q15*'Price of Tickets'!$H$76,R15*'Price of Tickets'!$I$80+F15+G15)</f>
        <v>90.275000000000006</v>
      </c>
      <c r="N15" s="94" t="b">
        <v>1</v>
      </c>
      <c r="O15" s="94" t="b">
        <v>1</v>
      </c>
      <c r="P15" s="94" t="b">
        <v>1</v>
      </c>
      <c r="Q15" s="94" t="b">
        <v>1</v>
      </c>
      <c r="R15" s="94" t="b">
        <v>1</v>
      </c>
    </row>
    <row r="16" spans="2:18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OFFSET(Members!G91,Members!$L$1,0)</f>
        <v>15</v>
      </c>
      <c r="G16" s="79">
        <f ca="1">OFFSET(Members!G52,Members!$L$1,0)</f>
        <v>20</v>
      </c>
      <c r="M16" s="89">
        <f ca="1">SUM(N16*'Price of Tickets'!$I$21,O16*'Price of Tickets'!$I$22,P16*'Price of Tickets'!$I$23,Q16*'Price of Tickets'!$I$20,R16*'Price of Tickets'!$I$24+F16+G16)</f>
        <v>133.5</v>
      </c>
      <c r="N16" s="94" t="b">
        <v>1</v>
      </c>
      <c r="O16" s="94" t="b">
        <v>1</v>
      </c>
      <c r="P16" s="94" t="b">
        <v>1</v>
      </c>
      <c r="Q16" s="94" t="b">
        <v>1</v>
      </c>
      <c r="R16" s="94" t="b">
        <v>1</v>
      </c>
    </row>
    <row r="17" spans="2:18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OFFSET(Members!G92,Members!$L$1,0)</f>
        <v>15</v>
      </c>
      <c r="G17" s="79">
        <f ca="1">OFFSET(Members!G53,Members!$L$1,0)</f>
        <v>20</v>
      </c>
      <c r="M17" s="89">
        <f ca="1">SUM(N17*'Price of Tickets'!$I$21,O17*'Price of Tickets'!$I$22,P17*'Price of Tickets'!$I$23,Q17*'Price of Tickets'!$I$20,R17*'Price of Tickets'!$I$24+F17+G17)</f>
        <v>133.5</v>
      </c>
      <c r="N17" s="94" t="b">
        <v>1</v>
      </c>
      <c r="O17" s="94" t="b">
        <v>1</v>
      </c>
      <c r="P17" s="94" t="b">
        <v>1</v>
      </c>
      <c r="Q17" s="94" t="b">
        <v>1</v>
      </c>
      <c r="R17" s="94" t="b">
        <v>1</v>
      </c>
    </row>
    <row r="18" spans="2:18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OFFSET(Members!G93,Members!$L$1,0)</f>
        <v>15</v>
      </c>
      <c r="G18" s="79">
        <f ca="1">OFFSET(Members!G54,Members!$L$1,0)</f>
        <v>20</v>
      </c>
      <c r="M18" s="89">
        <f ca="1">SUM(N18*'Price of Tickets'!$I$21,O18*'Price of Tickets'!$I$22,P18*'Price of Tickets'!$I$23,Q18*'Price of Tickets'!$I$20,R18*'Price of Tickets'!$I$24+F18+G18)</f>
        <v>133.5</v>
      </c>
      <c r="N18" s="94" t="b">
        <v>1</v>
      </c>
      <c r="O18" s="94" t="b">
        <v>1</v>
      </c>
      <c r="P18" s="94" t="b">
        <v>1</v>
      </c>
      <c r="Q18" s="94" t="b">
        <v>1</v>
      </c>
      <c r="R18" s="94" t="b">
        <v>1</v>
      </c>
    </row>
    <row r="19" spans="2:18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OFFSET(Members!G94,Members!$L$1,0)</f>
        <v>15</v>
      </c>
      <c r="G19" s="79">
        <f ca="1">OFFSET(Members!G55,Members!$L$1,0)</f>
        <v>20</v>
      </c>
      <c r="M19" s="89">
        <f ca="1">SUM(N19*'Price of Tickets'!$I$21,O19*'Price of Tickets'!$I$22,P19*'Price of Tickets'!$I$23,Q19*'Price of Tickets'!$I$20,R19*'Price of Tickets'!$I$24+F19+G19)</f>
        <v>133.5</v>
      </c>
      <c r="N19" s="94" t="b">
        <v>1</v>
      </c>
      <c r="O19" s="94" t="b">
        <v>1</v>
      </c>
      <c r="P19" s="94" t="b">
        <v>1</v>
      </c>
      <c r="Q19" s="94" t="b">
        <v>1</v>
      </c>
      <c r="R19" s="94" t="b">
        <v>1</v>
      </c>
    </row>
    <row r="20" spans="2:18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OFFSET(Members!G95,Members!$L$1,0)</f>
        <v>7.5</v>
      </c>
      <c r="G20" s="79">
        <f ca="1">OFFSET(Members!G56,Members!$L$1,0)</f>
        <v>11</v>
      </c>
      <c r="M20" s="89">
        <f ca="1">SUM(N20*'Price of Tickets'!$H$77,O20*'Price of Tickets'!$H$78,P20*'Price of Tickets'!$H$79,Q20*'Price of Tickets'!$H$76,R20*'Price of Tickets'!$I$80+F20+G20)</f>
        <v>90.275000000000006</v>
      </c>
      <c r="N20" s="94" t="b">
        <v>1</v>
      </c>
      <c r="O20" s="94" t="b">
        <v>1</v>
      </c>
      <c r="P20" s="94" t="b">
        <v>1</v>
      </c>
      <c r="Q20" s="94" t="b">
        <v>1</v>
      </c>
      <c r="R20" s="94" t="b">
        <v>1</v>
      </c>
    </row>
    <row r="21" spans="2:18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OFFSET(Members!G96,Members!$L$1,0)</f>
        <v>15</v>
      </c>
      <c r="G21" s="79">
        <f ca="1">OFFSET(Members!G57,Members!$L$1,0)</f>
        <v>20</v>
      </c>
      <c r="M21" s="89">
        <f ca="1">SUM(N21*'Price of Tickets'!$I$21,O21*'Price of Tickets'!$I$22,P21*'Price of Tickets'!$I$23,Q21*'Price of Tickets'!$I$20,R21*'Price of Tickets'!$I$24+F21+G21)</f>
        <v>133.5</v>
      </c>
      <c r="N21" s="94" t="b">
        <v>1</v>
      </c>
      <c r="O21" s="94" t="b">
        <v>1</v>
      </c>
      <c r="P21" s="94" t="b">
        <v>1</v>
      </c>
      <c r="Q21" s="94" t="b">
        <v>1</v>
      </c>
      <c r="R21" s="94" t="b">
        <v>1</v>
      </c>
    </row>
    <row r="22" spans="2:18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OFFSET(Members!G97,Members!$L$1,0)</f>
        <v>7.5</v>
      </c>
      <c r="G22" s="79">
        <f ca="1">OFFSET(Members!G58,Members!$L$1,0)</f>
        <v>11</v>
      </c>
      <c r="M22" s="89">
        <f ca="1">SUM(N22*'Price of Tickets'!$H$77,O22*'Price of Tickets'!$H$78,P22*'Price of Tickets'!$H$79,Q22*'Price of Tickets'!$H$76,R22*'Price of Tickets'!$I$80+F22+G22)</f>
        <v>90.275000000000006</v>
      </c>
      <c r="N22" s="94" t="b">
        <v>1</v>
      </c>
      <c r="O22" s="94" t="b">
        <v>1</v>
      </c>
      <c r="P22" s="94" t="b">
        <v>1</v>
      </c>
      <c r="Q22" s="94" t="b">
        <v>1</v>
      </c>
      <c r="R22" s="94" t="b">
        <v>1</v>
      </c>
    </row>
    <row r="23" spans="2:18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OFFSET(Members!G98,Members!$L$1,0)</f>
        <v>15</v>
      </c>
      <c r="G23" s="79">
        <f ca="1">OFFSET(Members!G59,Members!$L$1,0)</f>
        <v>20</v>
      </c>
      <c r="M23" s="89">
        <f ca="1">SUM(N23*'Price of Tickets'!$I$21,O23*'Price of Tickets'!$I$22,P23*'Price of Tickets'!$I$23,Q23*'Price of Tickets'!$I$20,R23*'Price of Tickets'!$I$24+F23+G23)</f>
        <v>133.5</v>
      </c>
      <c r="N23" s="94" t="b">
        <v>1</v>
      </c>
      <c r="O23" s="94" t="b">
        <v>1</v>
      </c>
      <c r="P23" s="94" t="b">
        <v>1</v>
      </c>
      <c r="Q23" s="94" t="b">
        <v>1</v>
      </c>
      <c r="R23" s="94" t="b">
        <v>1</v>
      </c>
    </row>
    <row r="24" spans="2:18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OFFSET(Members!G99,Members!$L$1,0)</f>
        <v>10</v>
      </c>
      <c r="G24" s="79">
        <f ca="1">OFFSET(Members!G60,Members!$L$1,0)</f>
        <v>14.5</v>
      </c>
      <c r="M24" s="89">
        <f ca="1">SUM(N24*'Price of Tickets'!$H$49,O24*'Price of Tickets'!$H$50,P24*'Price of Tickets'!$H$51,Q24*'Price of Tickets'!$H$48,R24*'Price of Tickets'!$I$52+F24+G24)</f>
        <v>102.8</v>
      </c>
      <c r="N24" s="94" t="b">
        <v>1</v>
      </c>
      <c r="O24" s="94" t="b">
        <v>1</v>
      </c>
      <c r="P24" s="94" t="b">
        <v>1</v>
      </c>
      <c r="Q24" s="94" t="b">
        <v>1</v>
      </c>
      <c r="R24" s="94" t="b">
        <v>1</v>
      </c>
    </row>
    <row r="25" spans="2:18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OFFSET(Members!G100,Members!$L$1,0)</f>
        <v>10</v>
      </c>
      <c r="G25" s="79">
        <f ca="1">OFFSET(Members!G61,Members!$L$1,0)</f>
        <v>14.5</v>
      </c>
      <c r="M25" s="89">
        <f ca="1">SUM(N25*'Price of Tickets'!$H$49,O25*'Price of Tickets'!$H$50,P25*'Price of Tickets'!$H$51,Q25*'Price of Tickets'!$H$48,R25*'Price of Tickets'!$I$52+F25+G25)</f>
        <v>102.8</v>
      </c>
      <c r="N25" s="94" t="b">
        <v>1</v>
      </c>
      <c r="O25" s="94" t="b">
        <v>1</v>
      </c>
      <c r="P25" s="94" t="b">
        <v>1</v>
      </c>
      <c r="Q25" s="94" t="b">
        <v>1</v>
      </c>
      <c r="R25" s="94" t="b">
        <v>1</v>
      </c>
    </row>
    <row r="26" spans="2:18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OFFSET(Members!G101,Members!$L$1,0)</f>
        <v>15</v>
      </c>
      <c r="G26" s="79">
        <f ca="1">OFFSET(Members!G62,Members!$L$1,0)</f>
        <v>20</v>
      </c>
      <c r="M26" s="89">
        <f ca="1">SUM(N26*'Price of Tickets'!$I$21,O26*'Price of Tickets'!$I$22,P26*'Price of Tickets'!$I$23,Q26*'Price of Tickets'!$I$20,R26*'Price of Tickets'!$I$24+F26+G26)</f>
        <v>133.5</v>
      </c>
      <c r="N26" s="94" t="b">
        <v>1</v>
      </c>
      <c r="O26" s="94" t="b">
        <v>1</v>
      </c>
      <c r="P26" s="94" t="b">
        <v>1</v>
      </c>
      <c r="Q26" s="94" t="b">
        <v>1</v>
      </c>
      <c r="R26" s="94" t="b">
        <v>1</v>
      </c>
    </row>
    <row r="27" spans="2:18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OFFSET(Members!G102,Members!$L$1,0)</f>
        <v>15</v>
      </c>
      <c r="G27" s="79">
        <f ca="1">OFFSET(Members!G63,Members!$L$1,0)</f>
        <v>20</v>
      </c>
      <c r="M27" s="89">
        <f ca="1">SUM(N27*'Price of Tickets'!$I$21,O27*'Price of Tickets'!$I$22,P27*'Price of Tickets'!$I$23,Q27*'Price of Tickets'!$I$20,R27*'Price of Tickets'!$I$24+F27+G27)</f>
        <v>133.5</v>
      </c>
      <c r="N27" s="94" t="b">
        <v>1</v>
      </c>
      <c r="O27" s="94" t="b">
        <v>1</v>
      </c>
      <c r="P27" s="94" t="b">
        <v>1</v>
      </c>
      <c r="Q27" s="94" t="b">
        <v>1</v>
      </c>
      <c r="R27" s="94" t="b">
        <v>1</v>
      </c>
    </row>
    <row r="28" spans="2:18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OFFSET(Members!G103,Members!$L$1,0)</f>
        <v>10</v>
      </c>
      <c r="G28" s="79">
        <f ca="1">OFFSET(Members!G64,Members!$L$1,0)</f>
        <v>14.5</v>
      </c>
      <c r="M28" s="89">
        <f ca="1">SUM(N28*'Price of Tickets'!$H$49,O28*'Price of Tickets'!$H$50,P28*'Price of Tickets'!$H$51,Q28*'Price of Tickets'!$H$48,R28*'Price of Tickets'!$I$52+F28+G28)</f>
        <v>102.8</v>
      </c>
      <c r="N28" s="94" t="b">
        <v>1</v>
      </c>
      <c r="O28" s="94" t="b">
        <v>1</v>
      </c>
      <c r="P28" s="94" t="b">
        <v>1</v>
      </c>
      <c r="Q28" s="94" t="b">
        <v>1</v>
      </c>
      <c r="R28" s="94" t="b">
        <v>1</v>
      </c>
    </row>
    <row r="29" spans="2:18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OFFSET(Members!G104,Members!$L$1,0)</f>
        <v>10</v>
      </c>
      <c r="G29" s="79">
        <f ca="1">OFFSET(Members!G65,Members!$L$1,0)</f>
        <v>14.5</v>
      </c>
      <c r="M29" s="89">
        <f ca="1">SUM(N29*'Price of Tickets'!$H$49,O29*'Price of Tickets'!$H$50,P29*'Price of Tickets'!$H$51,Q29*'Price of Tickets'!$H$48,R29*'Price of Tickets'!$I$52+F29+G29)</f>
        <v>102.8</v>
      </c>
      <c r="N29" s="94" t="b">
        <v>1</v>
      </c>
      <c r="O29" s="94" t="b">
        <v>1</v>
      </c>
      <c r="P29" s="94" t="b">
        <v>1</v>
      </c>
      <c r="Q29" s="94" t="b">
        <v>1</v>
      </c>
      <c r="R29" s="94" t="b">
        <v>1</v>
      </c>
    </row>
    <row r="30" spans="2:18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OFFSET(Members!G105,Members!$L$1,0)</f>
        <v>15</v>
      </c>
      <c r="G30" s="79">
        <f ca="1">OFFSET(Members!G66,Members!$L$1,0)</f>
        <v>20</v>
      </c>
      <c r="M30" s="89">
        <f ca="1">SUM(N30*'Price of Tickets'!$I$21,O30*'Price of Tickets'!$I$22,P30*'Price of Tickets'!$I$23,Q30*'Price of Tickets'!$I$20,R30*'Price of Tickets'!$I$24+F30+G30)</f>
        <v>133.5</v>
      </c>
      <c r="N30" s="94" t="b">
        <v>1</v>
      </c>
      <c r="O30" s="94" t="b">
        <v>1</v>
      </c>
      <c r="P30" s="94" t="b">
        <v>1</v>
      </c>
      <c r="Q30" s="94" t="b">
        <v>1</v>
      </c>
      <c r="R30" s="94" t="b">
        <v>1</v>
      </c>
    </row>
    <row r="31" spans="2:18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OFFSET(Members!G106,Members!$L$1,0)</f>
        <v>15</v>
      </c>
      <c r="G31" s="79">
        <f ca="1">OFFSET(Members!G67,Members!$L$1,0)</f>
        <v>20</v>
      </c>
      <c r="M31" s="89">
        <f ca="1">SUM(N31*'Price of Tickets'!$I$21,O31*'Price of Tickets'!$I$22,P31*'Price of Tickets'!$I$23,Q31*'Price of Tickets'!$I$20,R31*'Price of Tickets'!$I$24+F31+G31)</f>
        <v>133.5</v>
      </c>
      <c r="N31" s="94" t="b">
        <v>1</v>
      </c>
      <c r="O31" s="94" t="b">
        <v>1</v>
      </c>
      <c r="P31" s="94" t="b">
        <v>1</v>
      </c>
      <c r="Q31" s="94" t="b">
        <v>1</v>
      </c>
      <c r="R31" s="94" t="b">
        <v>1</v>
      </c>
    </row>
    <row r="32" spans="2:18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OFFSET(Members!G107,Members!$L$1,0)</f>
        <v>15</v>
      </c>
      <c r="G32" s="79">
        <f ca="1">OFFSET(Members!G68,Members!$L$1,0)</f>
        <v>20</v>
      </c>
      <c r="M32" s="89">
        <f ca="1">SUM(N32*'Price of Tickets'!$I$21,O32*'Price of Tickets'!$I$22,P32*'Price of Tickets'!$I$23,Q32*'Price of Tickets'!$I$20,R32*'Price of Tickets'!$I$24+F32+G32)</f>
        <v>133.5</v>
      </c>
      <c r="N32" s="94" t="b">
        <v>1</v>
      </c>
      <c r="O32" s="94" t="b">
        <v>1</v>
      </c>
      <c r="P32" s="94" t="b">
        <v>1</v>
      </c>
      <c r="Q32" s="94" t="b">
        <v>1</v>
      </c>
      <c r="R32" s="94" t="b">
        <v>1</v>
      </c>
    </row>
    <row r="33" spans="2:18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OFFSET(Members!G108,Members!$L$1,0)</f>
        <v>7.5</v>
      </c>
      <c r="G33" s="79">
        <f ca="1">OFFSET(Members!G69,Members!$L$1,0)</f>
        <v>11</v>
      </c>
      <c r="M33" s="89">
        <f ca="1">SUM(N33*'Price of Tickets'!$H$77,O33*'Price of Tickets'!$H$78,P33*'Price of Tickets'!$H$79,Q33*'Price of Tickets'!$H$76,R33*'Price of Tickets'!$I$80+F33+G33)</f>
        <v>90.275000000000006</v>
      </c>
      <c r="N33" s="94" t="b">
        <v>1</v>
      </c>
      <c r="O33" s="94" t="b">
        <v>1</v>
      </c>
      <c r="P33" s="94" t="b">
        <v>1</v>
      </c>
      <c r="Q33" s="94" t="b">
        <v>1</v>
      </c>
      <c r="R33" s="94" t="b">
        <v>1</v>
      </c>
    </row>
    <row r="34" spans="2:18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OFFSET(Members!G109,Members!$L$1,0)</f>
        <v>7.5</v>
      </c>
      <c r="G34" s="79">
        <f ca="1">OFFSET(Members!G70,Members!$L$1,0)</f>
        <v>11</v>
      </c>
      <c r="M34" s="89">
        <f ca="1">SUM(N34*'Price of Tickets'!$H$77,O34*'Price of Tickets'!$H$78,P34*'Price of Tickets'!$H$79,Q34*'Price of Tickets'!$H$76,R34*'Price of Tickets'!$I$80+F34+G34)</f>
        <v>90.275000000000006</v>
      </c>
      <c r="N34" s="94" t="b">
        <v>1</v>
      </c>
      <c r="O34" s="94" t="b">
        <v>1</v>
      </c>
      <c r="P34" s="94" t="b">
        <v>1</v>
      </c>
      <c r="Q34" s="94" t="b">
        <v>1</v>
      </c>
      <c r="R34" s="94" t="b">
        <v>1</v>
      </c>
    </row>
    <row r="35" spans="2:18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OFFSET(Members!G110,Members!$L$1,0)</f>
        <v>15</v>
      </c>
      <c r="G35" s="79">
        <f ca="1">OFFSET(Members!G71,Members!$L$1,0)</f>
        <v>20</v>
      </c>
      <c r="M35" s="89">
        <f ca="1">SUM(N35*'Price of Tickets'!$I$21,O35*'Price of Tickets'!$I$22,P35*'Price of Tickets'!$I$23,Q35*'Price of Tickets'!$I$20,R35*'Price of Tickets'!$I$24+F35+G35)</f>
        <v>133.5</v>
      </c>
      <c r="N35" s="94" t="b">
        <v>1</v>
      </c>
      <c r="O35" s="94" t="b">
        <v>1</v>
      </c>
      <c r="P35" s="94" t="b">
        <v>1</v>
      </c>
      <c r="Q35" s="94" t="b">
        <v>1</v>
      </c>
      <c r="R35" s="94" t="b">
        <v>1</v>
      </c>
    </row>
    <row r="36" spans="2:18">
      <c r="M36" s="90"/>
    </row>
    <row r="37" spans="2:18" ht="21">
      <c r="K37" s="102" t="s">
        <v>211</v>
      </c>
      <c r="M37" s="123">
        <f ca="1">SUM(M5:M35)</f>
        <v>3551.2500000000009</v>
      </c>
    </row>
    <row r="42" spans="2:18" ht="15.75" thickBot="1"/>
    <row r="43" spans="2:18" ht="16.5" thickTop="1" thickBot="1">
      <c r="B43" s="100" t="s">
        <v>284</v>
      </c>
      <c r="C43" s="99"/>
      <c r="D43" s="96" t="s">
        <v>285</v>
      </c>
      <c r="E43" s="97"/>
    </row>
    <row r="44" spans="2:18" ht="16.5" thickTop="1" thickBot="1">
      <c r="D44" s="96" t="s">
        <v>294</v>
      </c>
      <c r="E44" s="98"/>
    </row>
    <row r="45" spans="2:18" ht="16.5" thickTop="1" thickBot="1">
      <c r="D45" s="96" t="s">
        <v>288</v>
      </c>
      <c r="E45" s="97" t="s">
        <v>301</v>
      </c>
    </row>
    <row r="46" spans="2:18" ht="16.5" thickTop="1" thickBot="1">
      <c r="D46" s="96" t="s">
        <v>289</v>
      </c>
      <c r="E46" s="98"/>
    </row>
    <row r="47" spans="2:18" ht="16.5" thickTop="1" thickBot="1">
      <c r="D47" s="96" t="s">
        <v>290</v>
      </c>
      <c r="E47" s="98"/>
    </row>
    <row r="48" spans="2:18" ht="16.5" thickTop="1" thickBot="1">
      <c r="D48" s="96" t="s">
        <v>291</v>
      </c>
      <c r="E48" s="97"/>
    </row>
    <row r="49" spans="4:5" ht="16.5" thickTop="1" thickBot="1">
      <c r="D49" s="96" t="s">
        <v>295</v>
      </c>
      <c r="E49" s="97" t="s">
        <v>301</v>
      </c>
    </row>
    <row r="50" spans="4:5" ht="16.5" thickTop="1" thickBot="1">
      <c r="D50" s="96" t="s">
        <v>296</v>
      </c>
      <c r="E50" s="98"/>
    </row>
    <row r="51" spans="4:5" ht="16.5" thickTop="1" thickBot="1">
      <c r="D51" s="96" t="s">
        <v>297</v>
      </c>
      <c r="E51" s="98" t="s">
        <v>301</v>
      </c>
    </row>
    <row r="52" spans="4:5" ht="16.5" thickTop="1" thickBot="1">
      <c r="D52" s="96" t="s">
        <v>298</v>
      </c>
      <c r="E52" s="97"/>
    </row>
    <row r="53" spans="4:5" ht="16.5" thickTop="1" thickBot="1">
      <c r="D53" s="96" t="s">
        <v>299</v>
      </c>
      <c r="E53" s="97" t="s">
        <v>301</v>
      </c>
    </row>
    <row r="54" spans="4:5" ht="16.5" thickTop="1" thickBot="1">
      <c r="D54" s="96" t="s">
        <v>300</v>
      </c>
      <c r="E54" s="98" t="s">
        <v>301</v>
      </c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Check Box 1">
              <controlPr defaultSize="0" autoFill="0" autoLine="0" autoPict="0">
                <anchor moveWithCells="1">
                  <from>
                    <xdr:col>7</xdr:col>
                    <xdr:colOff>628650</xdr:colOff>
                    <xdr:row>6</xdr:row>
                    <xdr:rowOff>171450</xdr:rowOff>
                  </from>
                  <to>
                    <xdr:col>7</xdr:col>
                    <xdr:colOff>1019175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Check Box 2">
              <controlPr defaultSize="0" autoFill="0" autoLine="0" autoPict="0">
                <anchor moveWithCells="1">
                  <from>
                    <xdr:col>7</xdr:col>
                    <xdr:colOff>628650</xdr:colOff>
                    <xdr:row>7</xdr:row>
                    <xdr:rowOff>171450</xdr:rowOff>
                  </from>
                  <to>
                    <xdr:col>7</xdr:col>
                    <xdr:colOff>942975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Check Box 3">
              <controlPr defaultSize="0" autoFill="0" autoLine="0" autoPict="0">
                <anchor moveWithCells="1">
                  <from>
                    <xdr:col>7</xdr:col>
                    <xdr:colOff>628650</xdr:colOff>
                    <xdr:row>8</xdr:row>
                    <xdr:rowOff>171450</xdr:rowOff>
                  </from>
                  <to>
                    <xdr:col>7</xdr:col>
                    <xdr:colOff>942975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Check Box 4">
              <controlPr defaultSize="0" autoFill="0" autoLine="0" autoPict="0">
                <anchor moveWithCells="1">
                  <from>
                    <xdr:col>7</xdr:col>
                    <xdr:colOff>628650</xdr:colOff>
                    <xdr:row>9</xdr:row>
                    <xdr:rowOff>142875</xdr:rowOff>
                  </from>
                  <to>
                    <xdr:col>7</xdr:col>
                    <xdr:colOff>942975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Check Box 5">
              <controlPr defaultSize="0" autoFill="0" autoLine="0" autoPict="0">
                <anchor moveWithCells="1">
                  <from>
                    <xdr:col>7</xdr:col>
                    <xdr:colOff>628650</xdr:colOff>
                    <xdr:row>10</xdr:row>
                    <xdr:rowOff>142875</xdr:rowOff>
                  </from>
                  <to>
                    <xdr:col>7</xdr:col>
                    <xdr:colOff>962025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8" name="Check Box 6">
              <controlPr defaultSize="0" autoFill="0" autoLine="0" autoPict="0">
                <anchor moveWithCells="1">
                  <from>
                    <xdr:col>7</xdr:col>
                    <xdr:colOff>628650</xdr:colOff>
                    <xdr:row>11</xdr:row>
                    <xdr:rowOff>152400</xdr:rowOff>
                  </from>
                  <to>
                    <xdr:col>7</xdr:col>
                    <xdr:colOff>971550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9" name="Check Box 7">
              <controlPr defaultSize="0" autoFill="0" autoLine="0" autoPict="0">
                <anchor moveWithCells="1">
                  <from>
                    <xdr:col>7</xdr:col>
                    <xdr:colOff>628650</xdr:colOff>
                    <xdr:row>12</xdr:row>
                    <xdr:rowOff>171450</xdr:rowOff>
                  </from>
                  <to>
                    <xdr:col>7</xdr:col>
                    <xdr:colOff>933450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0" name="Check Box 8">
              <controlPr defaultSize="0" autoFill="0" autoLine="0" autoPict="0">
                <anchor moveWithCells="1">
                  <from>
                    <xdr:col>7</xdr:col>
                    <xdr:colOff>628650</xdr:colOff>
                    <xdr:row>13</xdr:row>
                    <xdr:rowOff>161925</xdr:rowOff>
                  </from>
                  <to>
                    <xdr:col>7</xdr:col>
                    <xdr:colOff>942975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1" name="Check Box 9">
              <controlPr defaultSize="0" autoFill="0" autoLine="0" autoPict="0">
                <anchor moveWithCells="1">
                  <from>
                    <xdr:col>7</xdr:col>
                    <xdr:colOff>628650</xdr:colOff>
                    <xdr:row>14</xdr:row>
                    <xdr:rowOff>152400</xdr:rowOff>
                  </from>
                  <to>
                    <xdr:col>8</xdr:col>
                    <xdr:colOff>523875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2" name="Check Box 10">
              <controlPr defaultSize="0" autoFill="0" autoLine="0" autoPict="0">
                <anchor moveWithCells="1">
                  <from>
                    <xdr:col>7</xdr:col>
                    <xdr:colOff>628650</xdr:colOff>
                    <xdr:row>15</xdr:row>
                    <xdr:rowOff>180975</xdr:rowOff>
                  </from>
                  <to>
                    <xdr:col>7</xdr:col>
                    <xdr:colOff>962025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3" name="Check Box 11">
              <controlPr defaultSize="0" autoFill="0" autoLine="0" autoPict="0">
                <anchor moveWithCells="1">
                  <from>
                    <xdr:col>7</xdr:col>
                    <xdr:colOff>628650</xdr:colOff>
                    <xdr:row>16</xdr:row>
                    <xdr:rowOff>171450</xdr:rowOff>
                  </from>
                  <to>
                    <xdr:col>7</xdr:col>
                    <xdr:colOff>990600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4" name="Check Box 12">
              <controlPr defaultSize="0" autoFill="0" autoLine="0" autoPict="0">
                <anchor moveWithCells="1">
                  <from>
                    <xdr:col>7</xdr:col>
                    <xdr:colOff>628650</xdr:colOff>
                    <xdr:row>17</xdr:row>
                    <xdr:rowOff>161925</xdr:rowOff>
                  </from>
                  <to>
                    <xdr:col>7</xdr:col>
                    <xdr:colOff>962025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5" name="Check Box 13">
              <controlPr defaultSize="0" autoFill="0" autoLine="0" autoPict="0">
                <anchor moveWithCells="1">
                  <from>
                    <xdr:col>7</xdr:col>
                    <xdr:colOff>628650</xdr:colOff>
                    <xdr:row>18</xdr:row>
                    <xdr:rowOff>171450</xdr:rowOff>
                  </from>
                  <to>
                    <xdr:col>7</xdr:col>
                    <xdr:colOff>933450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6" name="Check Box 14">
              <controlPr defaultSize="0" autoFill="0" autoLine="0" autoPict="0">
                <anchor moveWithCells="1">
                  <from>
                    <xdr:col>7</xdr:col>
                    <xdr:colOff>628650</xdr:colOff>
                    <xdr:row>20</xdr:row>
                    <xdr:rowOff>0</xdr:rowOff>
                  </from>
                  <to>
                    <xdr:col>7</xdr:col>
                    <xdr:colOff>904875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7" name="Check Box 15">
              <controlPr defaultSize="0" autoFill="0" autoLine="0" autoPict="0">
                <anchor moveWithCells="1">
                  <from>
                    <xdr:col>7</xdr:col>
                    <xdr:colOff>628650</xdr:colOff>
                    <xdr:row>20</xdr:row>
                    <xdr:rowOff>152400</xdr:rowOff>
                  </from>
                  <to>
                    <xdr:col>7</xdr:col>
                    <xdr:colOff>933450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8" name="Check Box 16">
              <controlPr defaultSize="0" autoFill="0" autoLine="0" autoPict="0">
                <anchor moveWithCells="1">
                  <from>
                    <xdr:col>7</xdr:col>
                    <xdr:colOff>628650</xdr:colOff>
                    <xdr:row>21</xdr:row>
                    <xdr:rowOff>152400</xdr:rowOff>
                  </from>
                  <to>
                    <xdr:col>7</xdr:col>
                    <xdr:colOff>962025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9" name="Check Box 17">
              <controlPr defaultSize="0" autoFill="0" autoLine="0" autoPict="0">
                <anchor moveWithCells="1">
                  <from>
                    <xdr:col>7</xdr:col>
                    <xdr:colOff>628650</xdr:colOff>
                    <xdr:row>22</xdr:row>
                    <xdr:rowOff>152400</xdr:rowOff>
                  </from>
                  <to>
                    <xdr:col>7</xdr:col>
                    <xdr:colOff>962025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0" name="Check Box 18">
              <controlPr defaultSize="0" autoFill="0" autoLine="0" autoPict="0">
                <anchor moveWithCells="1">
                  <from>
                    <xdr:col>7</xdr:col>
                    <xdr:colOff>628650</xdr:colOff>
                    <xdr:row>23</xdr:row>
                    <xdr:rowOff>171450</xdr:rowOff>
                  </from>
                  <to>
                    <xdr:col>7</xdr:col>
                    <xdr:colOff>962025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1" name="Check Box 19">
              <controlPr defaultSize="0" autoFill="0" autoLine="0" autoPict="0">
                <anchor moveWithCells="1">
                  <from>
                    <xdr:col>7</xdr:col>
                    <xdr:colOff>628650</xdr:colOff>
                    <xdr:row>24</xdr:row>
                    <xdr:rowOff>161925</xdr:rowOff>
                  </from>
                  <to>
                    <xdr:col>7</xdr:col>
                    <xdr:colOff>942975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2" name="Check Box 20">
              <controlPr defaultSize="0" autoFill="0" autoLine="0" autoPict="0">
                <anchor moveWithCells="1">
                  <from>
                    <xdr:col>7</xdr:col>
                    <xdr:colOff>628650</xdr:colOff>
                    <xdr:row>25</xdr:row>
                    <xdr:rowOff>171450</xdr:rowOff>
                  </from>
                  <to>
                    <xdr:col>7</xdr:col>
                    <xdr:colOff>923925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3" name="Check Box 21">
              <controlPr defaultSize="0" autoFill="0" autoLine="0" autoPict="0">
                <anchor moveWithCells="1">
                  <from>
                    <xdr:col>7</xdr:col>
                    <xdr:colOff>628650</xdr:colOff>
                    <xdr:row>5</xdr:row>
                    <xdr:rowOff>171450</xdr:rowOff>
                  </from>
                  <to>
                    <xdr:col>7</xdr:col>
                    <xdr:colOff>1057275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4" name="Check Box 22">
              <controlPr defaultSize="0" autoFill="0" autoLine="0" autoPict="0">
                <anchor moveWithCells="1">
                  <from>
                    <xdr:col>7</xdr:col>
                    <xdr:colOff>628650</xdr:colOff>
                    <xdr:row>4</xdr:row>
                    <xdr:rowOff>152400</xdr:rowOff>
                  </from>
                  <to>
                    <xdr:col>7</xdr:col>
                    <xdr:colOff>1028700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5" name="Check Box 23">
              <controlPr defaultSize="0" autoFill="0" autoLine="0" autoPict="0">
                <anchor moveWithCells="1">
                  <from>
                    <xdr:col>9</xdr:col>
                    <xdr:colOff>742950</xdr:colOff>
                    <xdr:row>5</xdr:row>
                    <xdr:rowOff>161925</xdr:rowOff>
                  </from>
                  <to>
                    <xdr:col>9</xdr:col>
                    <xdr:colOff>1209675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6" name="Check Box 24">
              <controlPr defaultSize="0" autoFill="0" autoLine="0" autoPict="0">
                <anchor moveWithCells="1">
                  <from>
                    <xdr:col>9</xdr:col>
                    <xdr:colOff>742950</xdr:colOff>
                    <xdr:row>6</xdr:row>
                    <xdr:rowOff>171450</xdr:rowOff>
                  </from>
                  <to>
                    <xdr:col>9</xdr:col>
                    <xdr:colOff>1209675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7" name="Check Box 25">
              <controlPr defaultSize="0" autoFill="0" autoLine="0" autoPict="0">
                <anchor moveWithCells="1">
                  <from>
                    <xdr:col>9</xdr:col>
                    <xdr:colOff>742950</xdr:colOff>
                    <xdr:row>7</xdr:row>
                    <xdr:rowOff>161925</xdr:rowOff>
                  </from>
                  <to>
                    <xdr:col>9</xdr:col>
                    <xdr:colOff>1209675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8" name="Check Box 26">
              <controlPr defaultSize="0" autoFill="0" autoLine="0" autoPict="0">
                <anchor moveWithCells="1">
                  <from>
                    <xdr:col>9</xdr:col>
                    <xdr:colOff>742950</xdr:colOff>
                    <xdr:row>8</xdr:row>
                    <xdr:rowOff>180975</xdr:rowOff>
                  </from>
                  <to>
                    <xdr:col>9</xdr:col>
                    <xdr:colOff>1209675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9" name="Check Box 27">
              <controlPr defaultSize="0" autoFill="0" autoLine="0" autoPict="0">
                <anchor moveWithCells="1">
                  <from>
                    <xdr:col>9</xdr:col>
                    <xdr:colOff>742950</xdr:colOff>
                    <xdr:row>10</xdr:row>
                    <xdr:rowOff>171450</xdr:rowOff>
                  </from>
                  <to>
                    <xdr:col>9</xdr:col>
                    <xdr:colOff>1209675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0" name="Check Box 28">
              <controlPr defaultSize="0" autoFill="0" autoLine="0" autoPict="0">
                <anchor moveWithCells="1">
                  <from>
                    <xdr:col>9</xdr:col>
                    <xdr:colOff>742950</xdr:colOff>
                    <xdr:row>11</xdr:row>
                    <xdr:rowOff>171450</xdr:rowOff>
                  </from>
                  <to>
                    <xdr:col>9</xdr:col>
                    <xdr:colOff>1209675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1" name="Check Box 29">
              <controlPr defaultSize="0" autoFill="0" autoLine="0" autoPict="0">
                <anchor moveWithCells="1">
                  <from>
                    <xdr:col>9</xdr:col>
                    <xdr:colOff>742950</xdr:colOff>
                    <xdr:row>12</xdr:row>
                    <xdr:rowOff>161925</xdr:rowOff>
                  </from>
                  <to>
                    <xdr:col>9</xdr:col>
                    <xdr:colOff>1209675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2" name="Check Box 30">
              <controlPr defaultSize="0" autoFill="0" autoLine="0" autoPict="0">
                <anchor moveWithCells="1">
                  <from>
                    <xdr:col>9</xdr:col>
                    <xdr:colOff>742950</xdr:colOff>
                    <xdr:row>13</xdr:row>
                    <xdr:rowOff>171450</xdr:rowOff>
                  </from>
                  <to>
                    <xdr:col>9</xdr:col>
                    <xdr:colOff>1209675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3" name="Check Box 31">
              <controlPr defaultSize="0" autoFill="0" autoLine="0" autoPict="0">
                <anchor moveWithCells="1">
                  <from>
                    <xdr:col>9</xdr:col>
                    <xdr:colOff>742950</xdr:colOff>
                    <xdr:row>14</xdr:row>
                    <xdr:rowOff>152400</xdr:rowOff>
                  </from>
                  <to>
                    <xdr:col>9</xdr:col>
                    <xdr:colOff>1209675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4" name="Check Box 32">
              <controlPr defaultSize="0" autoFill="0" autoLine="0" autoPict="0">
                <anchor moveWithCells="1">
                  <from>
                    <xdr:col>9</xdr:col>
                    <xdr:colOff>742950</xdr:colOff>
                    <xdr:row>15</xdr:row>
                    <xdr:rowOff>152400</xdr:rowOff>
                  </from>
                  <to>
                    <xdr:col>9</xdr:col>
                    <xdr:colOff>1209675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5" name="Check Box 33">
              <controlPr defaultSize="0" autoFill="0" autoLine="0" autoPict="0">
                <anchor moveWithCells="1">
                  <from>
                    <xdr:col>9</xdr:col>
                    <xdr:colOff>742950</xdr:colOff>
                    <xdr:row>16</xdr:row>
                    <xdr:rowOff>180975</xdr:rowOff>
                  </from>
                  <to>
                    <xdr:col>9</xdr:col>
                    <xdr:colOff>1209675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6" name="Check Box 34">
              <controlPr defaultSize="0" autoFill="0" autoLine="0" autoPict="0">
                <anchor moveWithCells="1">
                  <from>
                    <xdr:col>9</xdr:col>
                    <xdr:colOff>742950</xdr:colOff>
                    <xdr:row>17</xdr:row>
                    <xdr:rowOff>171450</xdr:rowOff>
                  </from>
                  <to>
                    <xdr:col>9</xdr:col>
                    <xdr:colOff>1209675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7" name="Check Box 35">
              <controlPr defaultSize="0" autoFill="0" autoLine="0" autoPict="0">
                <anchor moveWithCells="1">
                  <from>
                    <xdr:col>9</xdr:col>
                    <xdr:colOff>742950</xdr:colOff>
                    <xdr:row>18</xdr:row>
                    <xdr:rowOff>161925</xdr:rowOff>
                  </from>
                  <to>
                    <xdr:col>9</xdr:col>
                    <xdr:colOff>1209675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8" name="Check Box 36">
              <controlPr defaultSize="0" autoFill="0" autoLine="0" autoPict="0">
                <anchor moveWithCells="1">
                  <from>
                    <xdr:col>9</xdr:col>
                    <xdr:colOff>742950</xdr:colOff>
                    <xdr:row>19</xdr:row>
                    <xdr:rowOff>152400</xdr:rowOff>
                  </from>
                  <to>
                    <xdr:col>9</xdr:col>
                    <xdr:colOff>1209675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39" name="Check Box 37">
              <controlPr defaultSize="0" autoFill="0" autoLine="0" autoPict="0">
                <anchor moveWithCells="1">
                  <from>
                    <xdr:col>9</xdr:col>
                    <xdr:colOff>742950</xdr:colOff>
                    <xdr:row>20</xdr:row>
                    <xdr:rowOff>161925</xdr:rowOff>
                  </from>
                  <to>
                    <xdr:col>9</xdr:col>
                    <xdr:colOff>1209675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0" name="Check Box 38">
              <controlPr defaultSize="0" autoFill="0" autoLine="0" autoPict="0">
                <anchor moveWithCells="1">
                  <from>
                    <xdr:col>9</xdr:col>
                    <xdr:colOff>742950</xdr:colOff>
                    <xdr:row>21</xdr:row>
                    <xdr:rowOff>152400</xdr:rowOff>
                  </from>
                  <to>
                    <xdr:col>9</xdr:col>
                    <xdr:colOff>1209675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1" name="Check Box 39">
              <controlPr defaultSize="0" autoFill="0" autoLine="0" autoPict="0">
                <anchor moveWithCells="1">
                  <from>
                    <xdr:col>9</xdr:col>
                    <xdr:colOff>742950</xdr:colOff>
                    <xdr:row>22</xdr:row>
                    <xdr:rowOff>152400</xdr:rowOff>
                  </from>
                  <to>
                    <xdr:col>9</xdr:col>
                    <xdr:colOff>1209675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2" name="Check Box 40">
              <controlPr defaultSize="0" autoFill="0" autoLine="0" autoPict="0">
                <anchor moveWithCells="1">
                  <from>
                    <xdr:col>9</xdr:col>
                    <xdr:colOff>742950</xdr:colOff>
                    <xdr:row>23</xdr:row>
                    <xdr:rowOff>152400</xdr:rowOff>
                  </from>
                  <to>
                    <xdr:col>9</xdr:col>
                    <xdr:colOff>1209675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3" name="Check Box 41">
              <controlPr defaultSize="0" autoFill="0" autoLine="0" autoPict="0">
                <anchor moveWithCells="1">
                  <from>
                    <xdr:col>9</xdr:col>
                    <xdr:colOff>742950</xdr:colOff>
                    <xdr:row>24</xdr:row>
                    <xdr:rowOff>180975</xdr:rowOff>
                  </from>
                  <to>
                    <xdr:col>9</xdr:col>
                    <xdr:colOff>1209675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4" name="Check Box 42">
              <controlPr defaultSize="0" autoFill="0" autoLine="0" autoPict="0">
                <anchor moveWithCells="1">
                  <from>
                    <xdr:col>9</xdr:col>
                    <xdr:colOff>742950</xdr:colOff>
                    <xdr:row>26</xdr:row>
                    <xdr:rowOff>0</xdr:rowOff>
                  </from>
                  <to>
                    <xdr:col>9</xdr:col>
                    <xdr:colOff>1209675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5" name="Check Box 43">
              <controlPr defaultSize="0" autoFill="0" autoLine="0" autoPict="0">
                <anchor moveWithCells="1">
                  <from>
                    <xdr:col>9</xdr:col>
                    <xdr:colOff>742950</xdr:colOff>
                    <xdr:row>4</xdr:row>
                    <xdr:rowOff>161925</xdr:rowOff>
                  </from>
                  <to>
                    <xdr:col>9</xdr:col>
                    <xdr:colOff>1257300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6" name="Check Box 44">
              <controlPr defaultSize="0" autoFill="0" autoLine="0" autoPict="0">
                <anchor moveWithCells="1">
                  <from>
                    <xdr:col>9</xdr:col>
                    <xdr:colOff>742950</xdr:colOff>
                    <xdr:row>3</xdr:row>
                    <xdr:rowOff>152400</xdr:rowOff>
                  </from>
                  <to>
                    <xdr:col>9</xdr:col>
                    <xdr:colOff>1381125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7" name="Check Box 45">
              <controlPr defaultSize="0" autoFill="0" autoLine="0" autoPict="0">
                <anchor moveWithCells="1">
                  <from>
                    <xdr:col>10</xdr:col>
                    <xdr:colOff>914400</xdr:colOff>
                    <xdr:row>4</xdr:row>
                    <xdr:rowOff>28575</xdr:rowOff>
                  </from>
                  <to>
                    <xdr:col>10</xdr:col>
                    <xdr:colOff>1152525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8" name="Check Box 46">
              <controlPr defaultSize="0" autoFill="0" autoLine="0" autoPict="0">
                <anchor moveWithCells="1">
                  <from>
                    <xdr:col>7</xdr:col>
                    <xdr:colOff>628650</xdr:colOff>
                    <xdr:row>3</xdr:row>
                    <xdr:rowOff>152400</xdr:rowOff>
                  </from>
                  <to>
                    <xdr:col>7</xdr:col>
                    <xdr:colOff>1028700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49" name="Check Box 47">
              <controlPr defaultSize="0" autoFill="0" autoLine="0" autoPict="0">
                <anchor moveWithCells="1">
                  <from>
                    <xdr:col>9</xdr:col>
                    <xdr:colOff>742950</xdr:colOff>
                    <xdr:row>9</xdr:row>
                    <xdr:rowOff>161925</xdr:rowOff>
                  </from>
                  <to>
                    <xdr:col>9</xdr:col>
                    <xdr:colOff>1209675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0" name="Check Box 48">
              <controlPr defaultSize="0" autoFill="0" autoLine="0" autoPict="0">
                <anchor moveWithCells="1">
                  <from>
                    <xdr:col>7</xdr:col>
                    <xdr:colOff>619125</xdr:colOff>
                    <xdr:row>27</xdr:row>
                    <xdr:rowOff>19050</xdr:rowOff>
                  </from>
                  <to>
                    <xdr:col>7</xdr:col>
                    <xdr:colOff>895350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1" name="Check Box 49">
              <controlPr defaultSize="0" autoFill="0" autoLine="0" autoPict="0">
                <anchor moveWithCells="1">
                  <from>
                    <xdr:col>7</xdr:col>
                    <xdr:colOff>609600</xdr:colOff>
                    <xdr:row>28</xdr:row>
                    <xdr:rowOff>0</xdr:rowOff>
                  </from>
                  <to>
                    <xdr:col>7</xdr:col>
                    <xdr:colOff>914400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2" name="Check Box 50">
              <controlPr defaultSize="0" autoFill="0" autoLine="0" autoPict="0">
                <anchor moveWithCells="1">
                  <from>
                    <xdr:col>7</xdr:col>
                    <xdr:colOff>619125</xdr:colOff>
                    <xdr:row>28</xdr:row>
                    <xdr:rowOff>171450</xdr:rowOff>
                  </from>
                  <to>
                    <xdr:col>7</xdr:col>
                    <xdr:colOff>952500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3" name="Check Box 51">
              <controlPr defaultSize="0" autoFill="0" autoLine="0" autoPict="0">
                <anchor moveWithCells="1">
                  <from>
                    <xdr:col>7</xdr:col>
                    <xdr:colOff>619125</xdr:colOff>
                    <xdr:row>29</xdr:row>
                    <xdr:rowOff>171450</xdr:rowOff>
                  </from>
                  <to>
                    <xdr:col>7</xdr:col>
                    <xdr:colOff>952500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4" name="Check Box 52">
              <controlPr defaultSize="0" autoFill="0" autoLine="0" autoPict="0">
                <anchor moveWithCells="1">
                  <from>
                    <xdr:col>7</xdr:col>
                    <xdr:colOff>619125</xdr:colOff>
                    <xdr:row>31</xdr:row>
                    <xdr:rowOff>0</xdr:rowOff>
                  </from>
                  <to>
                    <xdr:col>7</xdr:col>
                    <xdr:colOff>952500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5" name="Check Box 53">
              <controlPr defaultSize="0" autoFill="0" autoLine="0" autoPict="0">
                <anchor moveWithCells="1">
                  <from>
                    <xdr:col>7</xdr:col>
                    <xdr:colOff>619125</xdr:colOff>
                    <xdr:row>31</xdr:row>
                    <xdr:rowOff>180975</xdr:rowOff>
                  </from>
                  <to>
                    <xdr:col>7</xdr:col>
                    <xdr:colOff>933450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6" name="Check Box 54">
              <controlPr defaultSize="0" autoFill="0" autoLine="0" autoPict="0">
                <anchor moveWithCells="1">
                  <from>
                    <xdr:col>7</xdr:col>
                    <xdr:colOff>619125</xdr:colOff>
                    <xdr:row>32</xdr:row>
                    <xdr:rowOff>171450</xdr:rowOff>
                  </from>
                  <to>
                    <xdr:col>7</xdr:col>
                    <xdr:colOff>914400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7" name="Check Box 55">
              <controlPr defaultSize="0" autoFill="0" autoLine="0" autoPict="0">
                <anchor moveWithCells="1">
                  <from>
                    <xdr:col>9</xdr:col>
                    <xdr:colOff>733425</xdr:colOff>
                    <xdr:row>26</xdr:row>
                    <xdr:rowOff>171450</xdr:rowOff>
                  </from>
                  <to>
                    <xdr:col>9</xdr:col>
                    <xdr:colOff>1200150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8" name="Check Box 56">
              <controlPr defaultSize="0" autoFill="0" autoLine="0" autoPict="0">
                <anchor moveWithCells="1">
                  <from>
                    <xdr:col>9</xdr:col>
                    <xdr:colOff>733425</xdr:colOff>
                    <xdr:row>27</xdr:row>
                    <xdr:rowOff>180975</xdr:rowOff>
                  </from>
                  <to>
                    <xdr:col>9</xdr:col>
                    <xdr:colOff>1200150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59" name="Check Box 57">
              <controlPr defaultSize="0" autoFill="0" autoLine="0" autoPict="0">
                <anchor moveWithCells="1">
                  <from>
                    <xdr:col>9</xdr:col>
                    <xdr:colOff>733425</xdr:colOff>
                    <xdr:row>28</xdr:row>
                    <xdr:rowOff>171450</xdr:rowOff>
                  </from>
                  <to>
                    <xdr:col>9</xdr:col>
                    <xdr:colOff>1200150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0" name="Check Box 58">
              <controlPr defaultSize="0" autoFill="0" autoLine="0" autoPict="0">
                <anchor moveWithCells="1">
                  <from>
                    <xdr:col>9</xdr:col>
                    <xdr:colOff>733425</xdr:colOff>
                    <xdr:row>29</xdr:row>
                    <xdr:rowOff>171450</xdr:rowOff>
                  </from>
                  <to>
                    <xdr:col>9</xdr:col>
                    <xdr:colOff>1200150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1" name="Check Box 59">
              <controlPr defaultSize="0" autoFill="0" autoLine="0" autoPict="0">
                <anchor moveWithCells="1">
                  <from>
                    <xdr:col>9</xdr:col>
                    <xdr:colOff>733425</xdr:colOff>
                    <xdr:row>30</xdr:row>
                    <xdr:rowOff>171450</xdr:rowOff>
                  </from>
                  <to>
                    <xdr:col>9</xdr:col>
                    <xdr:colOff>1200150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2" name="Check Box 60">
              <controlPr defaultSize="0" autoFill="0" autoLine="0" autoPict="0">
                <anchor moveWithCells="1">
                  <from>
                    <xdr:col>9</xdr:col>
                    <xdr:colOff>733425</xdr:colOff>
                    <xdr:row>32</xdr:row>
                    <xdr:rowOff>9525</xdr:rowOff>
                  </from>
                  <to>
                    <xdr:col>9</xdr:col>
                    <xdr:colOff>1200150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3" name="Check Box 61">
              <controlPr defaultSize="0" autoFill="0" autoLine="0" autoPict="0">
                <anchor moveWithCells="1">
                  <from>
                    <xdr:col>9</xdr:col>
                    <xdr:colOff>733425</xdr:colOff>
                    <xdr:row>33</xdr:row>
                    <xdr:rowOff>0</xdr:rowOff>
                  </from>
                  <to>
                    <xdr:col>9</xdr:col>
                    <xdr:colOff>1200150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4" name="Check Box 62">
              <controlPr defaultSize="0" autoFill="0" autoLine="0" autoPict="0">
                <anchor moveWithCells="1">
                  <from>
                    <xdr:col>7</xdr:col>
                    <xdr:colOff>619125</xdr:colOff>
                    <xdr:row>33</xdr:row>
                    <xdr:rowOff>180975</xdr:rowOff>
                  </from>
                  <to>
                    <xdr:col>7</xdr:col>
                    <xdr:colOff>914400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5" name="Check Box 63">
              <controlPr defaultSize="0" autoFill="0" autoLine="0" autoPict="0">
                <anchor moveWithCells="1">
                  <from>
                    <xdr:col>9</xdr:col>
                    <xdr:colOff>733425</xdr:colOff>
                    <xdr:row>33</xdr:row>
                    <xdr:rowOff>171450</xdr:rowOff>
                  </from>
                  <to>
                    <xdr:col>9</xdr:col>
                    <xdr:colOff>1200150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6" name="Check Box 64">
              <controlPr defaultSize="0" autoFill="0" autoLine="0" autoPict="0">
                <anchor moveWithCells="1">
                  <from>
                    <xdr:col>10</xdr:col>
                    <xdr:colOff>914400</xdr:colOff>
                    <xdr:row>5</xdr:row>
                    <xdr:rowOff>9525</xdr:rowOff>
                  </from>
                  <to>
                    <xdr:col>10</xdr:col>
                    <xdr:colOff>1228725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7" name="Check Box 65">
              <controlPr defaultSize="0" autoFill="0" autoLine="0" autoPict="0">
                <anchor moveWithCells="1">
                  <from>
                    <xdr:col>10</xdr:col>
                    <xdr:colOff>914400</xdr:colOff>
                    <xdr:row>6</xdr:row>
                    <xdr:rowOff>28575</xdr:rowOff>
                  </from>
                  <to>
                    <xdr:col>10</xdr:col>
                    <xdr:colOff>1143000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8" name="Check Box 66">
              <controlPr defaultSize="0" autoFill="0" autoLine="0" autoPict="0">
                <anchor moveWithCells="1">
                  <from>
                    <xdr:col>10</xdr:col>
                    <xdr:colOff>914400</xdr:colOff>
                    <xdr:row>7</xdr:row>
                    <xdr:rowOff>0</xdr:rowOff>
                  </from>
                  <to>
                    <xdr:col>10</xdr:col>
                    <xdr:colOff>1143000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69" name="Check Box 67">
              <controlPr defaultSize="0" autoFill="0" autoLine="0" autoPict="0">
                <anchor moveWithCells="1">
                  <from>
                    <xdr:col>10</xdr:col>
                    <xdr:colOff>914400</xdr:colOff>
                    <xdr:row>8</xdr:row>
                    <xdr:rowOff>19050</xdr:rowOff>
                  </from>
                  <to>
                    <xdr:col>10</xdr:col>
                    <xdr:colOff>1181100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0" name="Check Box 68">
              <controlPr defaultSize="0" autoFill="0" autoLine="0" autoPict="0">
                <anchor moveWithCells="1">
                  <from>
                    <xdr:col>10</xdr:col>
                    <xdr:colOff>914400</xdr:colOff>
                    <xdr:row>9</xdr:row>
                    <xdr:rowOff>0</xdr:rowOff>
                  </from>
                  <to>
                    <xdr:col>10</xdr:col>
                    <xdr:colOff>1133475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1" name="Check Box 69">
              <controlPr defaultSize="0" autoFill="0" autoLine="0" autoPict="0">
                <anchor moveWithCells="1">
                  <from>
                    <xdr:col>10</xdr:col>
                    <xdr:colOff>914400</xdr:colOff>
                    <xdr:row>10</xdr:row>
                    <xdr:rowOff>0</xdr:rowOff>
                  </from>
                  <to>
                    <xdr:col>10</xdr:col>
                    <xdr:colOff>1209675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2" name="Check Box 70">
              <controlPr defaultSize="0" autoFill="0" autoLine="0" autoPict="0">
                <anchor moveWithCells="1">
                  <from>
                    <xdr:col>10</xdr:col>
                    <xdr:colOff>914400</xdr:colOff>
                    <xdr:row>11</xdr:row>
                    <xdr:rowOff>9525</xdr:rowOff>
                  </from>
                  <to>
                    <xdr:col>10</xdr:col>
                    <xdr:colOff>1133475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3" name="Check Box 71">
              <controlPr defaultSize="0" autoFill="0" autoLine="0" autoPict="0">
                <anchor moveWithCells="1">
                  <from>
                    <xdr:col>10</xdr:col>
                    <xdr:colOff>914400</xdr:colOff>
                    <xdr:row>12</xdr:row>
                    <xdr:rowOff>19050</xdr:rowOff>
                  </from>
                  <to>
                    <xdr:col>10</xdr:col>
                    <xdr:colOff>1162050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4" name="Check Box 72">
              <controlPr defaultSize="0" autoFill="0" autoLine="0" autoPict="0">
                <anchor moveWithCells="1">
                  <from>
                    <xdr:col>10</xdr:col>
                    <xdr:colOff>914400</xdr:colOff>
                    <xdr:row>13</xdr:row>
                    <xdr:rowOff>9525</xdr:rowOff>
                  </from>
                  <to>
                    <xdr:col>10</xdr:col>
                    <xdr:colOff>1171575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5" name="Check Box 73">
              <controlPr defaultSize="0" autoFill="0" autoLine="0" autoPict="0">
                <anchor moveWithCells="1">
                  <from>
                    <xdr:col>10</xdr:col>
                    <xdr:colOff>914400</xdr:colOff>
                    <xdr:row>14</xdr:row>
                    <xdr:rowOff>19050</xdr:rowOff>
                  </from>
                  <to>
                    <xdr:col>10</xdr:col>
                    <xdr:colOff>1171575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6" name="Check Box 74">
              <controlPr defaultSize="0" autoFill="0" autoLine="0" autoPict="0">
                <anchor moveWithCells="1">
                  <from>
                    <xdr:col>10</xdr:col>
                    <xdr:colOff>914400</xdr:colOff>
                    <xdr:row>15</xdr:row>
                    <xdr:rowOff>28575</xdr:rowOff>
                  </from>
                  <to>
                    <xdr:col>10</xdr:col>
                    <xdr:colOff>1162050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7" name="Check Box 75">
              <controlPr defaultSize="0" autoFill="0" autoLine="0" autoPict="0">
                <anchor moveWithCells="1">
                  <from>
                    <xdr:col>10</xdr:col>
                    <xdr:colOff>914400</xdr:colOff>
                    <xdr:row>16</xdr:row>
                    <xdr:rowOff>19050</xdr:rowOff>
                  </from>
                  <to>
                    <xdr:col>10</xdr:col>
                    <xdr:colOff>1219200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8" name="Check Box 76">
              <controlPr defaultSize="0" autoFill="0" autoLine="0" autoPict="0">
                <anchor moveWithCells="1">
                  <from>
                    <xdr:col>10</xdr:col>
                    <xdr:colOff>914400</xdr:colOff>
                    <xdr:row>17</xdr:row>
                    <xdr:rowOff>19050</xdr:rowOff>
                  </from>
                  <to>
                    <xdr:col>10</xdr:col>
                    <xdr:colOff>1104900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79" name="Check Box 77">
              <controlPr defaultSize="0" autoFill="0" autoLine="0" autoPict="0">
                <anchor moveWithCells="1">
                  <from>
                    <xdr:col>10</xdr:col>
                    <xdr:colOff>914400</xdr:colOff>
                    <xdr:row>18</xdr:row>
                    <xdr:rowOff>19050</xdr:rowOff>
                  </from>
                  <to>
                    <xdr:col>10</xdr:col>
                    <xdr:colOff>1114425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0" name="Check Box 78">
              <controlPr defaultSize="0" autoFill="0" autoLine="0" autoPict="0">
                <anchor moveWithCells="1">
                  <from>
                    <xdr:col>10</xdr:col>
                    <xdr:colOff>914400</xdr:colOff>
                    <xdr:row>19</xdr:row>
                    <xdr:rowOff>19050</xdr:rowOff>
                  </from>
                  <to>
                    <xdr:col>10</xdr:col>
                    <xdr:colOff>1152525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1" name="Check Box 79">
              <controlPr defaultSize="0" autoFill="0" autoLine="0" autoPict="0">
                <anchor moveWithCells="1">
                  <from>
                    <xdr:col>10</xdr:col>
                    <xdr:colOff>914400</xdr:colOff>
                    <xdr:row>20</xdr:row>
                    <xdr:rowOff>9525</xdr:rowOff>
                  </from>
                  <to>
                    <xdr:col>10</xdr:col>
                    <xdr:colOff>1133475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2" name="Check Box 80">
              <controlPr defaultSize="0" autoFill="0" autoLine="0" autoPict="0">
                <anchor moveWithCells="1">
                  <from>
                    <xdr:col>10</xdr:col>
                    <xdr:colOff>914400</xdr:colOff>
                    <xdr:row>21</xdr:row>
                    <xdr:rowOff>0</xdr:rowOff>
                  </from>
                  <to>
                    <xdr:col>10</xdr:col>
                    <xdr:colOff>1181100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3" name="Check Box 81">
              <controlPr defaultSize="0" autoFill="0" autoLine="0" autoPict="0">
                <anchor moveWithCells="1">
                  <from>
                    <xdr:col>10</xdr:col>
                    <xdr:colOff>914400</xdr:colOff>
                    <xdr:row>22</xdr:row>
                    <xdr:rowOff>9525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4" name="Check Box 82">
              <controlPr defaultSize="0" autoFill="0" autoLine="0" autoPict="0">
                <anchor moveWithCells="1">
                  <from>
                    <xdr:col>10</xdr:col>
                    <xdr:colOff>914400</xdr:colOff>
                    <xdr:row>23</xdr:row>
                    <xdr:rowOff>19050</xdr:rowOff>
                  </from>
                  <to>
                    <xdr:col>10</xdr:col>
                    <xdr:colOff>1143000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5" name="Check Box 83">
              <controlPr defaultSize="0" autoFill="0" autoLine="0" autoPict="0">
                <anchor moveWithCells="1">
                  <from>
                    <xdr:col>10</xdr:col>
                    <xdr:colOff>914400</xdr:colOff>
                    <xdr:row>24</xdr:row>
                    <xdr:rowOff>19050</xdr:rowOff>
                  </from>
                  <to>
                    <xdr:col>10</xdr:col>
                    <xdr:colOff>1143000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6" name="Check Box 84">
              <controlPr defaultSize="0" autoFill="0" autoLine="0" autoPict="0">
                <anchor moveWithCells="1">
                  <from>
                    <xdr:col>10</xdr:col>
                    <xdr:colOff>914400</xdr:colOff>
                    <xdr:row>25</xdr:row>
                    <xdr:rowOff>9525</xdr:rowOff>
                  </from>
                  <to>
                    <xdr:col>10</xdr:col>
                    <xdr:colOff>1171575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7" name="Check Box 85">
              <controlPr defaultSize="0" autoFill="0" autoLine="0" autoPict="0">
                <anchor moveWithCells="1">
                  <from>
                    <xdr:col>10</xdr:col>
                    <xdr:colOff>914400</xdr:colOff>
                    <xdr:row>26</xdr:row>
                    <xdr:rowOff>19050</xdr:rowOff>
                  </from>
                  <to>
                    <xdr:col>10</xdr:col>
                    <xdr:colOff>1143000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8" name="Check Box 86">
              <controlPr defaultSize="0" autoFill="0" autoLine="0" autoPict="0">
                <anchor moveWithCells="1">
                  <from>
                    <xdr:col>10</xdr:col>
                    <xdr:colOff>914400</xdr:colOff>
                    <xdr:row>27</xdr:row>
                    <xdr:rowOff>0</xdr:rowOff>
                  </from>
                  <to>
                    <xdr:col>10</xdr:col>
                    <xdr:colOff>1200150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89" name="Check Box 87">
              <controlPr defaultSize="0" autoFill="0" autoLine="0" autoPict="0">
                <anchor moveWithCells="1">
                  <from>
                    <xdr:col>10</xdr:col>
                    <xdr:colOff>914400</xdr:colOff>
                    <xdr:row>28</xdr:row>
                    <xdr:rowOff>0</xdr:rowOff>
                  </from>
                  <to>
                    <xdr:col>10</xdr:col>
                    <xdr:colOff>1200150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0" name="Check Box 88">
              <controlPr defaultSize="0" autoFill="0" autoLine="0" autoPict="0">
                <anchor moveWithCells="1">
                  <from>
                    <xdr:col>10</xdr:col>
                    <xdr:colOff>914400</xdr:colOff>
                    <xdr:row>29</xdr:row>
                    <xdr:rowOff>19050</xdr:rowOff>
                  </from>
                  <to>
                    <xdr:col>10</xdr:col>
                    <xdr:colOff>1152525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1" name="Check Box 89">
              <controlPr defaultSize="0" autoFill="0" autoLine="0" autoPict="0">
                <anchor moveWithCells="1">
                  <from>
                    <xdr:col>10</xdr:col>
                    <xdr:colOff>914400</xdr:colOff>
                    <xdr:row>30</xdr:row>
                    <xdr:rowOff>9525</xdr:rowOff>
                  </from>
                  <to>
                    <xdr:col>10</xdr:col>
                    <xdr:colOff>1171575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2" name="Check Box 90">
              <controlPr defaultSize="0" autoFill="0" autoLine="0" autoPict="0">
                <anchor moveWithCells="1">
                  <from>
                    <xdr:col>10</xdr:col>
                    <xdr:colOff>914400</xdr:colOff>
                    <xdr:row>31</xdr:row>
                    <xdr:rowOff>19050</xdr:rowOff>
                  </from>
                  <to>
                    <xdr:col>10</xdr:col>
                    <xdr:colOff>1190625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3" name="Check Box 91">
              <controlPr defaultSize="0" autoFill="0" autoLine="0" autoPict="0">
                <anchor moveWithCells="1">
                  <from>
                    <xdr:col>10</xdr:col>
                    <xdr:colOff>914400</xdr:colOff>
                    <xdr:row>32</xdr:row>
                    <xdr:rowOff>0</xdr:rowOff>
                  </from>
                  <to>
                    <xdr:col>10</xdr:col>
                    <xdr:colOff>1190625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4" name="Check Box 92">
              <controlPr defaultSize="0" autoFill="0" autoLine="0" autoPict="0">
                <anchor moveWithCells="1">
                  <from>
                    <xdr:col>10</xdr:col>
                    <xdr:colOff>914400</xdr:colOff>
                    <xdr:row>33</xdr:row>
                    <xdr:rowOff>0</xdr:rowOff>
                  </from>
                  <to>
                    <xdr:col>10</xdr:col>
                    <xdr:colOff>1162050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5" name="Check Box 93">
              <controlPr defaultSize="0" autoFill="0" autoLine="0" autoPict="0">
                <anchor moveWithCells="1">
                  <from>
                    <xdr:col>10</xdr:col>
                    <xdr:colOff>914400</xdr:colOff>
                    <xdr:row>34</xdr:row>
                    <xdr:rowOff>0</xdr:rowOff>
                  </from>
                  <to>
                    <xdr:col>10</xdr:col>
                    <xdr:colOff>1228725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6" name="Check Box 94">
              <controlPr defaultSize="0" autoFill="0" autoLine="0" autoPict="0">
                <anchor moveWithCells="1">
                  <from>
                    <xdr:col>8</xdr:col>
                    <xdr:colOff>600075</xdr:colOff>
                    <xdr:row>7</xdr:row>
                    <xdr:rowOff>9525</xdr:rowOff>
                  </from>
                  <to>
                    <xdr:col>8</xdr:col>
                    <xdr:colOff>990600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97" name="Check Box 95">
              <controlPr defaultSize="0" autoFill="0" autoLine="0" autoPict="0">
                <anchor moveWithCells="1">
                  <from>
                    <xdr:col>8</xdr:col>
                    <xdr:colOff>600075</xdr:colOff>
                    <xdr:row>8</xdr:row>
                    <xdr:rowOff>9525</xdr:rowOff>
                  </from>
                  <to>
                    <xdr:col>8</xdr:col>
                    <xdr:colOff>914400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98" name="Check Box 96">
              <controlPr defaultSize="0" autoFill="0" autoLine="0" autoPict="0">
                <anchor moveWithCells="1">
                  <from>
                    <xdr:col>8</xdr:col>
                    <xdr:colOff>600075</xdr:colOff>
                    <xdr:row>9</xdr:row>
                    <xdr:rowOff>9525</xdr:rowOff>
                  </from>
                  <to>
                    <xdr:col>8</xdr:col>
                    <xdr:colOff>914400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99" name="Check Box 97">
              <controlPr defaultSize="0" autoFill="0" autoLine="0" autoPict="0">
                <anchor moveWithCells="1">
                  <from>
                    <xdr:col>8</xdr:col>
                    <xdr:colOff>600075</xdr:colOff>
                    <xdr:row>9</xdr:row>
                    <xdr:rowOff>171450</xdr:rowOff>
                  </from>
                  <to>
                    <xdr:col>8</xdr:col>
                    <xdr:colOff>914400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0" name="Check Box 98">
              <controlPr defaultSize="0" autoFill="0" autoLine="0" autoPict="0">
                <anchor moveWithCells="1">
                  <from>
                    <xdr:col>8</xdr:col>
                    <xdr:colOff>600075</xdr:colOff>
                    <xdr:row>10</xdr:row>
                    <xdr:rowOff>171450</xdr:rowOff>
                  </from>
                  <to>
                    <xdr:col>8</xdr:col>
                    <xdr:colOff>933450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1" name="Check Box 99">
              <controlPr defaultSize="0" autoFill="0" autoLine="0" autoPict="0">
                <anchor moveWithCells="1">
                  <from>
                    <xdr:col>8</xdr:col>
                    <xdr:colOff>600075</xdr:colOff>
                    <xdr:row>11</xdr:row>
                    <xdr:rowOff>180975</xdr:rowOff>
                  </from>
                  <to>
                    <xdr:col>8</xdr:col>
                    <xdr:colOff>942975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2" name="Check Box 100">
              <controlPr defaultSize="0" autoFill="0" autoLine="0" autoPict="0">
                <anchor moveWithCells="1">
                  <from>
                    <xdr:col>8</xdr:col>
                    <xdr:colOff>600075</xdr:colOff>
                    <xdr:row>13</xdr:row>
                    <xdr:rowOff>9525</xdr:rowOff>
                  </from>
                  <to>
                    <xdr:col>8</xdr:col>
                    <xdr:colOff>904875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3" name="Check Box 101">
              <controlPr defaultSize="0" autoFill="0" autoLine="0" autoPict="0">
                <anchor moveWithCells="1">
                  <from>
                    <xdr:col>8</xdr:col>
                    <xdr:colOff>600075</xdr:colOff>
                    <xdr:row>14</xdr:row>
                    <xdr:rowOff>0</xdr:rowOff>
                  </from>
                  <to>
                    <xdr:col>8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4" name="Check Box 102">
              <controlPr defaultSize="0" autoFill="0" autoLine="0" autoPict="0">
                <anchor moveWithCells="1">
                  <from>
                    <xdr:col>8</xdr:col>
                    <xdr:colOff>600075</xdr:colOff>
                    <xdr:row>15</xdr:row>
                    <xdr:rowOff>0</xdr:rowOff>
                  </from>
                  <to>
                    <xdr:col>8</xdr:col>
                    <xdr:colOff>885825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5" name="Check Box 103">
              <controlPr defaultSize="0" autoFill="0" autoLine="0" autoPict="0">
                <anchor moveWithCells="1">
                  <from>
                    <xdr:col>8</xdr:col>
                    <xdr:colOff>600075</xdr:colOff>
                    <xdr:row>16</xdr:row>
                    <xdr:rowOff>19050</xdr:rowOff>
                  </from>
                  <to>
                    <xdr:col>8</xdr:col>
                    <xdr:colOff>933450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6" name="Check Box 104">
              <controlPr defaultSize="0" autoFill="0" autoLine="0" autoPict="0">
                <anchor moveWithCells="1">
                  <from>
                    <xdr:col>8</xdr:col>
                    <xdr:colOff>600075</xdr:colOff>
                    <xdr:row>17</xdr:row>
                    <xdr:rowOff>9525</xdr:rowOff>
                  </from>
                  <to>
                    <xdr:col>8</xdr:col>
                    <xdr:colOff>962025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07" name="Check Box 105">
              <controlPr defaultSize="0" autoFill="0" autoLine="0" autoPict="0">
                <anchor moveWithCells="1">
                  <from>
                    <xdr:col>8</xdr:col>
                    <xdr:colOff>600075</xdr:colOff>
                    <xdr:row>18</xdr:row>
                    <xdr:rowOff>0</xdr:rowOff>
                  </from>
                  <to>
                    <xdr:col>8</xdr:col>
                    <xdr:colOff>933450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08" name="Check Box 106">
              <controlPr defaultSize="0" autoFill="0" autoLine="0" autoPict="0">
                <anchor moveWithCells="1">
                  <from>
                    <xdr:col>8</xdr:col>
                    <xdr:colOff>600075</xdr:colOff>
                    <xdr:row>19</xdr:row>
                    <xdr:rowOff>9525</xdr:rowOff>
                  </from>
                  <to>
                    <xdr:col>8</xdr:col>
                    <xdr:colOff>904875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09" name="Check Box 107">
              <controlPr defaultSize="0" autoFill="0" autoLine="0" autoPict="0">
                <anchor moveWithCells="1">
                  <from>
                    <xdr:col>8</xdr:col>
                    <xdr:colOff>600075</xdr:colOff>
                    <xdr:row>20</xdr:row>
                    <xdr:rowOff>28575</xdr:rowOff>
                  </from>
                  <to>
                    <xdr:col>8</xdr:col>
                    <xdr:colOff>876300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0" name="Check Box 108">
              <controlPr defaultSize="0" autoFill="0" autoLine="0" autoPict="0">
                <anchor moveWithCells="1">
                  <from>
                    <xdr:col>8</xdr:col>
                    <xdr:colOff>600075</xdr:colOff>
                    <xdr:row>20</xdr:row>
                    <xdr:rowOff>180975</xdr:rowOff>
                  </from>
                  <to>
                    <xdr:col>8</xdr:col>
                    <xdr:colOff>904875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1" name="Check Box 109">
              <controlPr defaultSize="0" autoFill="0" autoLine="0" autoPict="0">
                <anchor moveWithCells="1">
                  <from>
                    <xdr:col>8</xdr:col>
                    <xdr:colOff>600075</xdr:colOff>
                    <xdr:row>21</xdr:row>
                    <xdr:rowOff>180975</xdr:rowOff>
                  </from>
                  <to>
                    <xdr:col>8</xdr:col>
                    <xdr:colOff>933450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2" name="Check Box 110">
              <controlPr defaultSize="0" autoFill="0" autoLine="0" autoPict="0">
                <anchor moveWithCells="1">
                  <from>
                    <xdr:col>8</xdr:col>
                    <xdr:colOff>600075</xdr:colOff>
                    <xdr:row>22</xdr:row>
                    <xdr:rowOff>180975</xdr:rowOff>
                  </from>
                  <to>
                    <xdr:col>8</xdr:col>
                    <xdr:colOff>933450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3" name="Check Box 111">
              <controlPr defaultSize="0" autoFill="0" autoLine="0" autoPict="0">
                <anchor moveWithCells="1">
                  <from>
                    <xdr:col>8</xdr:col>
                    <xdr:colOff>600075</xdr:colOff>
                    <xdr:row>24</xdr:row>
                    <xdr:rowOff>9525</xdr:rowOff>
                  </from>
                  <to>
                    <xdr:col>8</xdr:col>
                    <xdr:colOff>933450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4" name="Check Box 112">
              <controlPr defaultSize="0" autoFill="0" autoLine="0" autoPict="0">
                <anchor moveWithCells="1">
                  <from>
                    <xdr:col>8</xdr:col>
                    <xdr:colOff>600075</xdr:colOff>
                    <xdr:row>25</xdr:row>
                    <xdr:rowOff>0</xdr:rowOff>
                  </from>
                  <to>
                    <xdr:col>8</xdr:col>
                    <xdr:colOff>914400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5" name="Check Box 113">
              <controlPr defaultSize="0" autoFill="0" autoLine="0" autoPict="0">
                <anchor moveWithCells="1">
                  <from>
                    <xdr:col>8</xdr:col>
                    <xdr:colOff>600075</xdr:colOff>
                    <xdr:row>26</xdr:row>
                    <xdr:rowOff>9525</xdr:rowOff>
                  </from>
                  <to>
                    <xdr:col>8</xdr:col>
                    <xdr:colOff>895350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6" name="Check Box 114">
              <controlPr defaultSize="0" autoFill="0" autoLine="0" autoPict="0">
                <anchor moveWithCells="1">
                  <from>
                    <xdr:col>8</xdr:col>
                    <xdr:colOff>600075</xdr:colOff>
                    <xdr:row>6</xdr:row>
                    <xdr:rowOff>9525</xdr:rowOff>
                  </from>
                  <to>
                    <xdr:col>8</xdr:col>
                    <xdr:colOff>1028700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17" name="Check Box 115">
              <controlPr defaultSize="0" autoFill="0" autoLine="0" autoPict="0">
                <anchor moveWithCells="1">
                  <from>
                    <xdr:col>8</xdr:col>
                    <xdr:colOff>600075</xdr:colOff>
                    <xdr:row>4</xdr:row>
                    <xdr:rowOff>180975</xdr:rowOff>
                  </from>
                  <to>
                    <xdr:col>8</xdr:col>
                    <xdr:colOff>1000125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18" name="Check Box 116">
              <controlPr defaultSize="0" autoFill="0" autoLine="0" autoPict="0">
                <anchor moveWithCells="1">
                  <from>
                    <xdr:col>8</xdr:col>
                    <xdr:colOff>600075</xdr:colOff>
                    <xdr:row>3</xdr:row>
                    <xdr:rowOff>180975</xdr:rowOff>
                  </from>
                  <to>
                    <xdr:col>8</xdr:col>
                    <xdr:colOff>1000125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19" name="Check Box 117">
              <controlPr defaultSize="0" autoFill="0" autoLine="0" autoPict="0">
                <anchor moveWithCells="1">
                  <from>
                    <xdr:col>8</xdr:col>
                    <xdr:colOff>590550</xdr:colOff>
                    <xdr:row>27</xdr:row>
                    <xdr:rowOff>47625</xdr:rowOff>
                  </from>
                  <to>
                    <xdr:col>8</xdr:col>
                    <xdr:colOff>866775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0" name="Check Box 118">
              <controlPr defaultSize="0" autoFill="0" autoLine="0" autoPict="0">
                <anchor moveWithCells="1">
                  <from>
                    <xdr:col>8</xdr:col>
                    <xdr:colOff>581025</xdr:colOff>
                    <xdr:row>28</xdr:row>
                    <xdr:rowOff>28575</xdr:rowOff>
                  </from>
                  <to>
                    <xdr:col>8</xdr:col>
                    <xdr:colOff>885825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1" name="Check Box 119">
              <controlPr defaultSize="0" autoFill="0" autoLine="0" autoPict="0">
                <anchor moveWithCells="1">
                  <from>
                    <xdr:col>8</xdr:col>
                    <xdr:colOff>590550</xdr:colOff>
                    <xdr:row>29</xdr:row>
                    <xdr:rowOff>9525</xdr:rowOff>
                  </from>
                  <to>
                    <xdr:col>8</xdr:col>
                    <xdr:colOff>923925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2" name="Check Box 120">
              <controlPr defaultSize="0" autoFill="0" autoLine="0" autoPict="0">
                <anchor moveWithCells="1">
                  <from>
                    <xdr:col>8</xdr:col>
                    <xdr:colOff>590550</xdr:colOff>
                    <xdr:row>30</xdr:row>
                    <xdr:rowOff>9525</xdr:rowOff>
                  </from>
                  <to>
                    <xdr:col>8</xdr:col>
                    <xdr:colOff>923925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3" name="Check Box 121">
              <controlPr defaultSize="0" autoFill="0" autoLine="0" autoPict="0">
                <anchor moveWithCells="1">
                  <from>
                    <xdr:col>8</xdr:col>
                    <xdr:colOff>590550</xdr:colOff>
                    <xdr:row>31</xdr:row>
                    <xdr:rowOff>28575</xdr:rowOff>
                  </from>
                  <to>
                    <xdr:col>8</xdr:col>
                    <xdr:colOff>923925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4" name="Check Box 122">
              <controlPr defaultSize="0" autoFill="0" autoLine="0" autoPict="0">
                <anchor moveWithCells="1">
                  <from>
                    <xdr:col>8</xdr:col>
                    <xdr:colOff>590550</xdr:colOff>
                    <xdr:row>32</xdr:row>
                    <xdr:rowOff>19050</xdr:rowOff>
                  </from>
                  <to>
                    <xdr:col>8</xdr:col>
                    <xdr:colOff>904875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5" name="Check Box 123">
              <controlPr defaultSize="0" autoFill="0" autoLine="0" autoPict="0">
                <anchor moveWithCells="1">
                  <from>
                    <xdr:col>8</xdr:col>
                    <xdr:colOff>590550</xdr:colOff>
                    <xdr:row>33</xdr:row>
                    <xdr:rowOff>9525</xdr:rowOff>
                  </from>
                  <to>
                    <xdr:col>8</xdr:col>
                    <xdr:colOff>885825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6" name="Check Box 124">
              <controlPr defaultSize="0" autoFill="0" autoLine="0" autoPict="0">
                <anchor moveWithCells="1">
                  <from>
                    <xdr:col>8</xdr:col>
                    <xdr:colOff>590550</xdr:colOff>
                    <xdr:row>33</xdr:row>
                    <xdr:rowOff>180975</xdr:rowOff>
                  </from>
                  <to>
                    <xdr:col>8</xdr:col>
                    <xdr:colOff>885825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27" name="Check Box 138">
              <controlPr defaultSize="0" autoFill="0" autoLine="0" autoPict="0">
                <anchor moveWithCells="1">
                  <from>
                    <xdr:col>11</xdr:col>
                    <xdr:colOff>523875</xdr:colOff>
                    <xdr:row>6</xdr:row>
                    <xdr:rowOff>171450</xdr:rowOff>
                  </from>
                  <to>
                    <xdr:col>11</xdr:col>
                    <xdr:colOff>914400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28" name="Check Box 139">
              <controlPr defaultSize="0" autoFill="0" autoLine="0" autoPict="0">
                <anchor moveWithCells="1">
                  <from>
                    <xdr:col>11</xdr:col>
                    <xdr:colOff>523875</xdr:colOff>
                    <xdr:row>7</xdr:row>
                    <xdr:rowOff>171450</xdr:rowOff>
                  </from>
                  <to>
                    <xdr:col>11</xdr:col>
                    <xdr:colOff>838200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0" r:id="rId129" name="Check Box 140">
              <controlPr defaultSize="0" autoFill="0" autoLine="0" autoPict="0">
                <anchor moveWithCells="1">
                  <from>
                    <xdr:col>11</xdr:col>
                    <xdr:colOff>523875</xdr:colOff>
                    <xdr:row>8</xdr:row>
                    <xdr:rowOff>171450</xdr:rowOff>
                  </from>
                  <to>
                    <xdr:col>11</xdr:col>
                    <xdr:colOff>838200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1" r:id="rId130" name="Check Box 141">
              <controlPr defaultSize="0" autoFill="0" autoLine="0" autoPict="0">
                <anchor moveWithCells="1">
                  <from>
                    <xdr:col>11</xdr:col>
                    <xdr:colOff>523875</xdr:colOff>
                    <xdr:row>9</xdr:row>
                    <xdr:rowOff>142875</xdr:rowOff>
                  </from>
                  <to>
                    <xdr:col>11</xdr:col>
                    <xdr:colOff>838200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2" r:id="rId131" name="Check Box 142">
              <controlPr defaultSize="0" autoFill="0" autoLine="0" autoPict="0">
                <anchor moveWithCells="1">
                  <from>
                    <xdr:col>11</xdr:col>
                    <xdr:colOff>523875</xdr:colOff>
                    <xdr:row>10</xdr:row>
                    <xdr:rowOff>142875</xdr:rowOff>
                  </from>
                  <to>
                    <xdr:col>11</xdr:col>
                    <xdr:colOff>857250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3" r:id="rId132" name="Check Box 143">
              <controlPr defaultSize="0" autoFill="0" autoLine="0" autoPict="0">
                <anchor moveWithCells="1">
                  <from>
                    <xdr:col>11</xdr:col>
                    <xdr:colOff>523875</xdr:colOff>
                    <xdr:row>11</xdr:row>
                    <xdr:rowOff>152400</xdr:rowOff>
                  </from>
                  <to>
                    <xdr:col>11</xdr:col>
                    <xdr:colOff>866775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4" r:id="rId133" name="Check Box 144">
              <controlPr defaultSize="0" autoFill="0" autoLine="0" autoPict="0">
                <anchor moveWithCells="1">
                  <from>
                    <xdr:col>11</xdr:col>
                    <xdr:colOff>523875</xdr:colOff>
                    <xdr:row>12</xdr:row>
                    <xdr:rowOff>171450</xdr:rowOff>
                  </from>
                  <to>
                    <xdr:col>11</xdr:col>
                    <xdr:colOff>828675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5" r:id="rId134" name="Check Box 145">
              <controlPr defaultSize="0" autoFill="0" autoLine="0" autoPict="0">
                <anchor moveWithCells="1">
                  <from>
                    <xdr:col>11</xdr:col>
                    <xdr:colOff>523875</xdr:colOff>
                    <xdr:row>13</xdr:row>
                    <xdr:rowOff>161925</xdr:rowOff>
                  </from>
                  <to>
                    <xdr:col>11</xdr:col>
                    <xdr:colOff>838200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35" name="Check Box 146">
              <controlPr defaultSize="0" autoFill="0" autoLine="0" autoPict="0">
                <anchor moveWithCells="1">
                  <from>
                    <xdr:col>11</xdr:col>
                    <xdr:colOff>523875</xdr:colOff>
                    <xdr:row>14</xdr:row>
                    <xdr:rowOff>152400</xdr:rowOff>
                  </from>
                  <to>
                    <xdr:col>12</xdr:col>
                    <xdr:colOff>628650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7" r:id="rId136" name="Check Box 147">
              <controlPr defaultSize="0" autoFill="0" autoLine="0" autoPict="0">
                <anchor moveWithCells="1">
                  <from>
                    <xdr:col>11</xdr:col>
                    <xdr:colOff>523875</xdr:colOff>
                    <xdr:row>15</xdr:row>
                    <xdr:rowOff>180975</xdr:rowOff>
                  </from>
                  <to>
                    <xdr:col>11</xdr:col>
                    <xdr:colOff>857250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8" r:id="rId137" name="Check Box 148">
              <controlPr defaultSize="0" autoFill="0" autoLine="0" autoPict="0">
                <anchor moveWithCells="1">
                  <from>
                    <xdr:col>11</xdr:col>
                    <xdr:colOff>523875</xdr:colOff>
                    <xdr:row>16</xdr:row>
                    <xdr:rowOff>171450</xdr:rowOff>
                  </from>
                  <to>
                    <xdr:col>11</xdr:col>
                    <xdr:colOff>885825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9" r:id="rId138" name="Check Box 149">
              <controlPr defaultSize="0" autoFill="0" autoLine="0" autoPict="0">
                <anchor moveWithCells="1">
                  <from>
                    <xdr:col>11</xdr:col>
                    <xdr:colOff>523875</xdr:colOff>
                    <xdr:row>17</xdr:row>
                    <xdr:rowOff>161925</xdr:rowOff>
                  </from>
                  <to>
                    <xdr:col>11</xdr:col>
                    <xdr:colOff>857250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0" r:id="rId139" name="Check Box 150">
              <controlPr defaultSize="0" autoFill="0" autoLine="0" autoPict="0">
                <anchor moveWithCells="1">
                  <from>
                    <xdr:col>11</xdr:col>
                    <xdr:colOff>523875</xdr:colOff>
                    <xdr:row>18</xdr:row>
                    <xdr:rowOff>171450</xdr:rowOff>
                  </from>
                  <to>
                    <xdr:col>11</xdr:col>
                    <xdr:colOff>828675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1" r:id="rId140" name="Check Box 151">
              <controlPr defaultSize="0" autoFill="0" autoLine="0" autoPict="0">
                <anchor moveWithCells="1">
                  <from>
                    <xdr:col>11</xdr:col>
                    <xdr:colOff>523875</xdr:colOff>
                    <xdr:row>20</xdr:row>
                    <xdr:rowOff>0</xdr:rowOff>
                  </from>
                  <to>
                    <xdr:col>11</xdr:col>
                    <xdr:colOff>800100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2" r:id="rId141" name="Check Box 152">
              <controlPr defaultSize="0" autoFill="0" autoLine="0" autoPict="0">
                <anchor moveWithCells="1">
                  <from>
                    <xdr:col>11</xdr:col>
                    <xdr:colOff>523875</xdr:colOff>
                    <xdr:row>20</xdr:row>
                    <xdr:rowOff>152400</xdr:rowOff>
                  </from>
                  <to>
                    <xdr:col>11</xdr:col>
                    <xdr:colOff>828675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3" r:id="rId142" name="Check Box 153">
              <controlPr defaultSize="0" autoFill="0" autoLine="0" autoPict="0">
                <anchor moveWithCells="1">
                  <from>
                    <xdr:col>11</xdr:col>
                    <xdr:colOff>523875</xdr:colOff>
                    <xdr:row>21</xdr:row>
                    <xdr:rowOff>152400</xdr:rowOff>
                  </from>
                  <to>
                    <xdr:col>11</xdr:col>
                    <xdr:colOff>857250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4" r:id="rId143" name="Check Box 154">
              <controlPr defaultSize="0" autoFill="0" autoLine="0" autoPict="0">
                <anchor moveWithCells="1">
                  <from>
                    <xdr:col>11</xdr:col>
                    <xdr:colOff>523875</xdr:colOff>
                    <xdr:row>22</xdr:row>
                    <xdr:rowOff>152400</xdr:rowOff>
                  </from>
                  <to>
                    <xdr:col>11</xdr:col>
                    <xdr:colOff>857250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5" r:id="rId144" name="Check Box 155">
              <controlPr defaultSize="0" autoFill="0" autoLine="0" autoPict="0">
                <anchor moveWithCells="1">
                  <from>
                    <xdr:col>11</xdr:col>
                    <xdr:colOff>523875</xdr:colOff>
                    <xdr:row>23</xdr:row>
                    <xdr:rowOff>171450</xdr:rowOff>
                  </from>
                  <to>
                    <xdr:col>11</xdr:col>
                    <xdr:colOff>857250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6" r:id="rId145" name="Check Box 156">
              <controlPr defaultSize="0" autoFill="0" autoLine="0" autoPict="0">
                <anchor moveWithCells="1">
                  <from>
                    <xdr:col>11</xdr:col>
                    <xdr:colOff>523875</xdr:colOff>
                    <xdr:row>24</xdr:row>
                    <xdr:rowOff>161925</xdr:rowOff>
                  </from>
                  <to>
                    <xdr:col>11</xdr:col>
                    <xdr:colOff>838200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7" r:id="rId146" name="Check Box 157">
              <controlPr defaultSize="0" autoFill="0" autoLine="0" autoPict="0">
                <anchor moveWithCells="1">
                  <from>
                    <xdr:col>11</xdr:col>
                    <xdr:colOff>523875</xdr:colOff>
                    <xdr:row>25</xdr:row>
                    <xdr:rowOff>171450</xdr:rowOff>
                  </from>
                  <to>
                    <xdr:col>11</xdr:col>
                    <xdr:colOff>819150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8" r:id="rId147" name="Check Box 158">
              <controlPr defaultSize="0" autoFill="0" autoLine="0" autoPict="0">
                <anchor moveWithCells="1">
                  <from>
                    <xdr:col>11</xdr:col>
                    <xdr:colOff>523875</xdr:colOff>
                    <xdr:row>5</xdr:row>
                    <xdr:rowOff>171450</xdr:rowOff>
                  </from>
                  <to>
                    <xdr:col>11</xdr:col>
                    <xdr:colOff>952500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9" r:id="rId148" name="Check Box 159">
              <controlPr defaultSize="0" autoFill="0" autoLine="0" autoPict="0">
                <anchor moveWithCells="1">
                  <from>
                    <xdr:col>11</xdr:col>
                    <xdr:colOff>523875</xdr:colOff>
                    <xdr:row>4</xdr:row>
                    <xdr:rowOff>152400</xdr:rowOff>
                  </from>
                  <to>
                    <xdr:col>11</xdr:col>
                    <xdr:colOff>923925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0" r:id="rId149" name="Check Box 160">
              <controlPr defaultSize="0" autoFill="0" autoLine="0" autoPict="0">
                <anchor moveWithCells="1">
                  <from>
                    <xdr:col>11</xdr:col>
                    <xdr:colOff>523875</xdr:colOff>
                    <xdr:row>3</xdr:row>
                    <xdr:rowOff>152400</xdr:rowOff>
                  </from>
                  <to>
                    <xdr:col>11</xdr:col>
                    <xdr:colOff>923925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1" r:id="rId150" name="Check Box 161">
              <controlPr defaultSize="0" autoFill="0" autoLine="0" autoPict="0">
                <anchor moveWithCells="1">
                  <from>
                    <xdr:col>11</xdr:col>
                    <xdr:colOff>514350</xdr:colOff>
                    <xdr:row>27</xdr:row>
                    <xdr:rowOff>19050</xdr:rowOff>
                  </from>
                  <to>
                    <xdr:col>11</xdr:col>
                    <xdr:colOff>790575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2" r:id="rId151" name="Check Box 162">
              <controlPr defaultSize="0" autoFill="0" autoLine="0" autoPict="0">
                <anchor moveWithCells="1">
                  <from>
                    <xdr:col>11</xdr:col>
                    <xdr:colOff>504825</xdr:colOff>
                    <xdr:row>28</xdr:row>
                    <xdr:rowOff>0</xdr:rowOff>
                  </from>
                  <to>
                    <xdr:col>11</xdr:col>
                    <xdr:colOff>809625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3" r:id="rId152" name="Check Box 163">
              <controlPr defaultSize="0" autoFill="0" autoLine="0" autoPict="0">
                <anchor moveWithCells="1">
                  <from>
                    <xdr:col>11</xdr:col>
                    <xdr:colOff>514350</xdr:colOff>
                    <xdr:row>28</xdr:row>
                    <xdr:rowOff>171450</xdr:rowOff>
                  </from>
                  <to>
                    <xdr:col>11</xdr:col>
                    <xdr:colOff>847725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4" r:id="rId153" name="Check Box 164">
              <controlPr defaultSize="0" autoFill="0" autoLine="0" autoPict="0">
                <anchor moveWithCells="1">
                  <from>
                    <xdr:col>11</xdr:col>
                    <xdr:colOff>514350</xdr:colOff>
                    <xdr:row>29</xdr:row>
                    <xdr:rowOff>171450</xdr:rowOff>
                  </from>
                  <to>
                    <xdr:col>11</xdr:col>
                    <xdr:colOff>847725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5" r:id="rId154" name="Check Box 165">
              <controlPr defaultSize="0" autoFill="0" autoLine="0" autoPict="0">
                <anchor moveWithCells="1">
                  <from>
                    <xdr:col>11</xdr:col>
                    <xdr:colOff>514350</xdr:colOff>
                    <xdr:row>31</xdr:row>
                    <xdr:rowOff>0</xdr:rowOff>
                  </from>
                  <to>
                    <xdr:col>11</xdr:col>
                    <xdr:colOff>847725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6" r:id="rId155" name="Check Box 166">
              <controlPr defaultSize="0" autoFill="0" autoLine="0" autoPict="0">
                <anchor moveWithCells="1">
                  <from>
                    <xdr:col>11</xdr:col>
                    <xdr:colOff>514350</xdr:colOff>
                    <xdr:row>31</xdr:row>
                    <xdr:rowOff>180975</xdr:rowOff>
                  </from>
                  <to>
                    <xdr:col>11</xdr:col>
                    <xdr:colOff>828675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7" r:id="rId156" name="Check Box 167">
              <controlPr defaultSize="0" autoFill="0" autoLine="0" autoPict="0">
                <anchor moveWithCells="1">
                  <from>
                    <xdr:col>11</xdr:col>
                    <xdr:colOff>514350</xdr:colOff>
                    <xdr:row>32</xdr:row>
                    <xdr:rowOff>171450</xdr:rowOff>
                  </from>
                  <to>
                    <xdr:col>11</xdr:col>
                    <xdr:colOff>809625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8" r:id="rId157" name="Check Box 168">
              <controlPr defaultSize="0" autoFill="0" autoLine="0" autoPict="0">
                <anchor moveWithCells="1">
                  <from>
                    <xdr:col>11</xdr:col>
                    <xdr:colOff>514350</xdr:colOff>
                    <xdr:row>33</xdr:row>
                    <xdr:rowOff>180975</xdr:rowOff>
                  </from>
                  <to>
                    <xdr:col>11</xdr:col>
                    <xdr:colOff>809625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9" r:id="rId158" name="Button 169">
              <controlPr defaultSize="0" print="0" autoFill="0" autoPict="0" macro="[0]!Button169_Click">
                <anchor moveWithCells="1" sizeWithCells="1">
                  <from>
                    <xdr:col>11</xdr:col>
                    <xdr:colOff>9525</xdr:colOff>
                    <xdr:row>0</xdr:row>
                    <xdr:rowOff>66675</xdr:rowOff>
                  </from>
                  <to>
                    <xdr:col>12</xdr:col>
                    <xdr:colOff>9525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N55"/>
  <sheetViews>
    <sheetView workbookViewId="0">
      <selection activeCell="E4" sqref="E4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8" width="30" customWidth="1"/>
    <col min="9" max="9" width="35.42578125" customWidth="1"/>
    <col min="10" max="11" width="21.85546875" customWidth="1"/>
  </cols>
  <sheetData>
    <row r="1" spans="2:14" ht="23.25">
      <c r="B1" s="87" t="s">
        <v>277</v>
      </c>
    </row>
    <row r="4" spans="2:14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2</v>
      </c>
      <c r="I4" s="32" t="s">
        <v>3</v>
      </c>
      <c r="J4" s="32" t="s">
        <v>226</v>
      </c>
      <c r="K4" s="32" t="s">
        <v>6</v>
      </c>
    </row>
    <row r="5" spans="2:14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OFFSET(Members!H80,Members!$L$1,0)</f>
        <v>15</v>
      </c>
      <c r="G5" s="79">
        <f ca="1">OFFSET(Members!H41,Members!$L$1,0)</f>
        <v>20</v>
      </c>
      <c r="K5" s="91">
        <f ca="1">SUM(L5*'Price of Tickets'!$I$25,M5*'Price of Tickets'!$I$26,N5*'Price of Tickets'!$I$27+F5+G5)</f>
        <v>102</v>
      </c>
      <c r="L5" s="94" t="b">
        <v>1</v>
      </c>
      <c r="M5" s="94" t="b">
        <v>1</v>
      </c>
      <c r="N5" s="94" t="b">
        <v>1</v>
      </c>
    </row>
    <row r="6" spans="2:14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OFFSET(Members!H81,Members!$L$1,0)</f>
        <v>5</v>
      </c>
      <c r="G6" s="79">
        <f ca="1">OFFSET(Members!H42,Members!$L$1,0)</f>
        <v>7.4</v>
      </c>
      <c r="K6" s="91">
        <f ca="1">SUM(L6*'Price of Tickets'!$I$118,M6*'Price of Tickets'!$I$118,N6*'Price of Tickets'!$I$118+F6+G6)</f>
        <v>43.9</v>
      </c>
      <c r="L6" s="94" t="b">
        <v>1</v>
      </c>
      <c r="M6" s="94" t="b">
        <v>1</v>
      </c>
      <c r="N6" s="94" t="b">
        <v>1</v>
      </c>
    </row>
    <row r="7" spans="2:14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OFFSET(Members!H82,Members!$L$1,0)</f>
        <v>15</v>
      </c>
      <c r="G7" s="79">
        <f ca="1">OFFSET(Members!H43,Members!$L$1,0)</f>
        <v>20</v>
      </c>
      <c r="K7" s="91">
        <f ca="1">SUM(L7*'Price of Tickets'!$I$25,M7*'Price of Tickets'!$I$26,N7*'Price of Tickets'!$I$27+F7+G7)</f>
        <v>102</v>
      </c>
      <c r="L7" s="94" t="b">
        <v>1</v>
      </c>
      <c r="M7" s="94" t="b">
        <v>1</v>
      </c>
      <c r="N7" s="94" t="b">
        <v>1</v>
      </c>
    </row>
    <row r="8" spans="2:14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OFFSET(Members!H83,Members!$L$1,0)</f>
        <v>7.5</v>
      </c>
      <c r="G8" s="79">
        <f ca="1">OFFSET(Members!H44,Members!$L$1,0)</f>
        <v>11</v>
      </c>
      <c r="K8" s="91">
        <f ca="1">SUM(L8*'Price of Tickets'!$H$81,M8*'Price of Tickets'!$H$82,N8*'Price of Tickets'!$H$83+F8+G8)</f>
        <v>73.775000000000006</v>
      </c>
      <c r="L8" s="94" t="b">
        <v>1</v>
      </c>
      <c r="M8" s="94" t="b">
        <v>1</v>
      </c>
      <c r="N8" s="94" t="b">
        <v>1</v>
      </c>
    </row>
    <row r="9" spans="2:14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OFFSET(Members!H84,Members!$L$1,0)</f>
        <v>15</v>
      </c>
      <c r="G9" s="79">
        <f ca="1">OFFSET(Members!H45,Members!$L$1,0)</f>
        <v>20</v>
      </c>
      <c r="K9" s="91">
        <f ca="1">SUM(L9*'Price of Tickets'!$I$25,M9*'Price of Tickets'!$I$26,N9*'Price of Tickets'!$I$27+F9+G9)</f>
        <v>102</v>
      </c>
      <c r="L9" s="94" t="b">
        <v>1</v>
      </c>
      <c r="M9" s="94" t="b">
        <v>1</v>
      </c>
      <c r="N9" s="94" t="b">
        <v>1</v>
      </c>
    </row>
    <row r="10" spans="2:14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OFFSET(Members!H85,Members!$L$1,0)</f>
        <v>5</v>
      </c>
      <c r="G10" s="79">
        <f ca="1">OFFSET(Members!H46,Members!$L$1,0)</f>
        <v>7.4</v>
      </c>
      <c r="K10" s="91">
        <f ca="1">SUM(L10*'Price of Tickets'!$I$118,M10*'Price of Tickets'!$I$118,N10*'Price of Tickets'!$I$118+F10+G10)</f>
        <v>43.9</v>
      </c>
      <c r="L10" s="94" t="b">
        <v>1</v>
      </c>
      <c r="M10" s="94" t="b">
        <v>1</v>
      </c>
      <c r="N10" s="94" t="b">
        <v>1</v>
      </c>
    </row>
    <row r="11" spans="2:14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OFFSET(Members!H86,Members!$L$1,0)</f>
        <v>10</v>
      </c>
      <c r="G11" s="79">
        <f ca="1">OFFSET(Members!H47,Members!$L$1,0)</f>
        <v>14.5</v>
      </c>
      <c r="K11" s="91">
        <f ca="1">SUM(L11*'Price of Tickets'!$H$53,M11*'Price of Tickets'!$H$53,N11*'Price of Tickets'!$H$53+F11+G11)</f>
        <v>81.200000000000017</v>
      </c>
      <c r="L11" s="94" t="b">
        <v>1</v>
      </c>
      <c r="M11" s="94" t="b">
        <v>1</v>
      </c>
      <c r="N11" s="94" t="b">
        <v>1</v>
      </c>
    </row>
    <row r="12" spans="2:14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OFFSET(Members!H87,Members!$L$1,0)</f>
        <v>10</v>
      </c>
      <c r="G12" s="79">
        <f ca="1">OFFSET(Members!H48,Members!$L$1,0)</f>
        <v>14.5</v>
      </c>
      <c r="K12" s="91">
        <f ca="1">SUM(L12*'Price of Tickets'!$H$53,M12*'Price of Tickets'!$H$53,N12*'Price of Tickets'!$H$53+F12+G12)</f>
        <v>81.200000000000017</v>
      </c>
      <c r="L12" s="94" t="b">
        <v>1</v>
      </c>
      <c r="M12" s="94" t="b">
        <v>1</v>
      </c>
      <c r="N12" s="94" t="b">
        <v>1</v>
      </c>
    </row>
    <row r="13" spans="2:14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OFFSET(Members!H88,Members!$L$1,0)</f>
        <v>15</v>
      </c>
      <c r="G13" s="79">
        <f ca="1">OFFSET(Members!H49,Members!$L$1,0)</f>
        <v>20</v>
      </c>
      <c r="K13" s="91">
        <f ca="1">SUM(L13*'Price of Tickets'!$I$25,M13*'Price of Tickets'!$I$26,N13*'Price of Tickets'!$I$27+F13+G13)</f>
        <v>102</v>
      </c>
      <c r="L13" s="94" t="b">
        <v>1</v>
      </c>
      <c r="M13" s="94" t="b">
        <v>1</v>
      </c>
      <c r="N13" s="94" t="b">
        <v>1</v>
      </c>
    </row>
    <row r="14" spans="2:14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OFFSET(Members!H89,Members!$L$1,0)</f>
        <v>15</v>
      </c>
      <c r="G14" s="79">
        <f ca="1">OFFSET(Members!H50,Members!$L$1,0)</f>
        <v>20</v>
      </c>
      <c r="K14" s="91">
        <f ca="1">SUM(L14*'Price of Tickets'!$I$25,M14*'Price of Tickets'!$I$26,N14*'Price of Tickets'!$I$27+F14+G14)</f>
        <v>102</v>
      </c>
      <c r="L14" s="94" t="b">
        <v>1</v>
      </c>
      <c r="M14" s="94" t="b">
        <v>1</v>
      </c>
      <c r="N14" s="94" t="b">
        <v>1</v>
      </c>
    </row>
    <row r="15" spans="2:14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OFFSET(Members!H90,Members!$L$1,0)</f>
        <v>7.5</v>
      </c>
      <c r="G15" s="79">
        <f ca="1">OFFSET(Members!H51,Members!$L$1,0)</f>
        <v>11</v>
      </c>
      <c r="K15" s="91">
        <f ca="1">SUM(L15*'Price of Tickets'!$H$81,M15*'Price of Tickets'!$H$82,N15*'Price of Tickets'!$H$83+F15+G15)</f>
        <v>73.775000000000006</v>
      </c>
      <c r="L15" s="94" t="b">
        <v>1</v>
      </c>
      <c r="M15" s="94" t="b">
        <v>1</v>
      </c>
      <c r="N15" s="94" t="b">
        <v>1</v>
      </c>
    </row>
    <row r="16" spans="2:14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OFFSET(Members!H91,Members!$L$1,0)</f>
        <v>15</v>
      </c>
      <c r="G16" s="79">
        <f ca="1">OFFSET(Members!H52,Members!$L$1,0)</f>
        <v>20</v>
      </c>
      <c r="K16" s="91">
        <f ca="1">SUM(L16*'Price of Tickets'!$I$25,M16*'Price of Tickets'!$I$26,N16*'Price of Tickets'!$I$27+F16+G16)</f>
        <v>102</v>
      </c>
      <c r="L16" s="94" t="b">
        <v>1</v>
      </c>
      <c r="M16" s="94" t="b">
        <v>1</v>
      </c>
      <c r="N16" s="94" t="b">
        <v>1</v>
      </c>
    </row>
    <row r="17" spans="2:14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OFFSET(Members!H92,Members!$L$1,0)</f>
        <v>15</v>
      </c>
      <c r="G17" s="79">
        <f ca="1">OFFSET(Members!H53,Members!$L$1,0)</f>
        <v>20</v>
      </c>
      <c r="K17" s="91">
        <f ca="1">SUM(L17*'Price of Tickets'!$I$25,M17*'Price of Tickets'!$I$26,N17*'Price of Tickets'!$I$27+F17+G17)</f>
        <v>102</v>
      </c>
      <c r="L17" s="94" t="b">
        <v>1</v>
      </c>
      <c r="M17" s="94" t="b">
        <v>1</v>
      </c>
      <c r="N17" s="94" t="b">
        <v>1</v>
      </c>
    </row>
    <row r="18" spans="2:14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OFFSET(Members!H93,Members!$L$1,0)</f>
        <v>15</v>
      </c>
      <c r="G18" s="79">
        <f ca="1">OFFSET(Members!H54,Members!$L$1,0)</f>
        <v>20</v>
      </c>
      <c r="K18" s="91">
        <f ca="1">SUM(L18*'Price of Tickets'!$I$25,M18*'Price of Tickets'!$I$26,N18*'Price of Tickets'!$I$27+F18+G18)</f>
        <v>102</v>
      </c>
      <c r="L18" s="94" t="b">
        <v>1</v>
      </c>
      <c r="M18" s="94" t="b">
        <v>1</v>
      </c>
      <c r="N18" s="94" t="b">
        <v>1</v>
      </c>
    </row>
    <row r="19" spans="2:14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OFFSET(Members!H94,Members!$L$1,0)</f>
        <v>15</v>
      </c>
      <c r="G19" s="79">
        <f ca="1">OFFSET(Members!H55,Members!$L$1,0)</f>
        <v>20</v>
      </c>
      <c r="K19" s="91">
        <f ca="1">SUM(L19*'Price of Tickets'!$I$25,M19*'Price of Tickets'!$I$26,N19*'Price of Tickets'!$I$27+F19+G19)</f>
        <v>102</v>
      </c>
      <c r="L19" s="94" t="b">
        <v>1</v>
      </c>
      <c r="M19" s="94" t="b">
        <v>1</v>
      </c>
      <c r="N19" s="94" t="b">
        <v>1</v>
      </c>
    </row>
    <row r="20" spans="2:14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OFFSET(Members!H95,Members!$L$1,0)</f>
        <v>7.5</v>
      </c>
      <c r="G20" s="79">
        <f ca="1">OFFSET(Members!H56,Members!$L$1,0)</f>
        <v>11</v>
      </c>
      <c r="K20" s="91">
        <f ca="1">SUM(L20*'Price of Tickets'!$H$81,M20*'Price of Tickets'!$H$82,N20*'Price of Tickets'!$H$83+F20+G20)</f>
        <v>73.775000000000006</v>
      </c>
      <c r="L20" s="94" t="b">
        <v>1</v>
      </c>
      <c r="M20" s="94" t="b">
        <v>1</v>
      </c>
      <c r="N20" s="94" t="b">
        <v>1</v>
      </c>
    </row>
    <row r="21" spans="2:14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OFFSET(Members!H96,Members!$L$1,0)</f>
        <v>15</v>
      </c>
      <c r="G21" s="79">
        <f ca="1">OFFSET(Members!H57,Members!$L$1,0)</f>
        <v>20</v>
      </c>
      <c r="K21" s="91">
        <f ca="1">SUM(L21*'Price of Tickets'!$I$25,M21*'Price of Tickets'!$I$26,N21*'Price of Tickets'!$I$27+F21+G21)</f>
        <v>102</v>
      </c>
      <c r="L21" s="94" t="b">
        <v>1</v>
      </c>
      <c r="M21" s="94" t="b">
        <v>1</v>
      </c>
      <c r="N21" s="94" t="b">
        <v>1</v>
      </c>
    </row>
    <row r="22" spans="2:14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OFFSET(Members!H97,Members!$L$1,0)</f>
        <v>7.5</v>
      </c>
      <c r="G22" s="79">
        <f ca="1">OFFSET(Members!H58,Members!$L$1,0)</f>
        <v>11</v>
      </c>
      <c r="K22" s="91">
        <f ca="1">SUM(L22*'Price of Tickets'!$H$81,M22*'Price of Tickets'!$H$82,N22*'Price of Tickets'!$H$83+F22+G22)</f>
        <v>73.775000000000006</v>
      </c>
      <c r="L22" s="94" t="b">
        <v>1</v>
      </c>
      <c r="M22" s="94" t="b">
        <v>1</v>
      </c>
      <c r="N22" s="94" t="b">
        <v>1</v>
      </c>
    </row>
    <row r="23" spans="2:14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OFFSET(Members!H98,Members!$L$1,0)</f>
        <v>15</v>
      </c>
      <c r="G23" s="79">
        <f ca="1">OFFSET(Members!H59,Members!$L$1,0)</f>
        <v>20</v>
      </c>
      <c r="K23" s="91">
        <f ca="1">SUM(L23*'Price of Tickets'!$I$25,M23*'Price of Tickets'!$I$26,N23*'Price of Tickets'!$I$27+F23+G23)</f>
        <v>102</v>
      </c>
      <c r="L23" s="94" t="b">
        <v>1</v>
      </c>
      <c r="M23" s="94" t="b">
        <v>1</v>
      </c>
      <c r="N23" s="94" t="b">
        <v>1</v>
      </c>
    </row>
    <row r="24" spans="2:14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OFFSET(Members!H99,Members!$L$1,0)</f>
        <v>10</v>
      </c>
      <c r="G24" s="79">
        <f ca="1">OFFSET(Members!H60,Members!$L$1,0)</f>
        <v>14.5</v>
      </c>
      <c r="K24" s="91">
        <f ca="1">SUM(L24*'Price of Tickets'!$H$53,M24*'Price of Tickets'!$H$53,N24*'Price of Tickets'!$H$53+F24+G24)</f>
        <v>81.200000000000017</v>
      </c>
      <c r="L24" s="94" t="b">
        <v>1</v>
      </c>
      <c r="M24" s="94" t="b">
        <v>1</v>
      </c>
      <c r="N24" s="94" t="b">
        <v>1</v>
      </c>
    </row>
    <row r="25" spans="2:14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OFFSET(Members!H100,Members!$L$1,0)</f>
        <v>10</v>
      </c>
      <c r="G25" s="79">
        <f ca="1">OFFSET(Members!H61,Members!$L$1,0)</f>
        <v>14.5</v>
      </c>
      <c r="K25" s="91">
        <f ca="1">SUM(L24*'Price of Tickets'!$H$53,M24*'Price of Tickets'!$H$53,N24*'Price of Tickets'!$H$53+F24+G24)</f>
        <v>81.200000000000017</v>
      </c>
      <c r="L25" s="94" t="b">
        <v>1</v>
      </c>
      <c r="M25" s="94" t="b">
        <v>1</v>
      </c>
      <c r="N25" s="94" t="b">
        <v>1</v>
      </c>
    </row>
    <row r="26" spans="2:14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OFFSET(Members!H101,Members!$L$1,0)</f>
        <v>15</v>
      </c>
      <c r="G26" s="79">
        <f ca="1">OFFSET(Members!H62,Members!$L$1,0)</f>
        <v>20</v>
      </c>
      <c r="K26" s="91">
        <f ca="1">SUM(L26*'Price of Tickets'!$I$25,M26*'Price of Tickets'!$I$26,N26*'Price of Tickets'!$I$27+F26+G26)</f>
        <v>102</v>
      </c>
      <c r="L26" s="94" t="b">
        <v>1</v>
      </c>
      <c r="M26" s="94" t="b">
        <v>1</v>
      </c>
      <c r="N26" s="94" t="b">
        <v>1</v>
      </c>
    </row>
    <row r="27" spans="2:14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OFFSET(Members!H102,Members!$L$1,0)</f>
        <v>15</v>
      </c>
      <c r="G27" s="79">
        <f ca="1">OFFSET(Members!H63,Members!$L$1,0)</f>
        <v>20</v>
      </c>
      <c r="K27" s="91">
        <f ca="1">SUM(L27*'Price of Tickets'!$I$25,M27*'Price of Tickets'!$I$26,N27*'Price of Tickets'!$I$27+F27+G27)</f>
        <v>102</v>
      </c>
      <c r="L27" s="94" t="b">
        <v>1</v>
      </c>
      <c r="M27" s="94" t="b">
        <v>1</v>
      </c>
      <c r="N27" s="94" t="b">
        <v>1</v>
      </c>
    </row>
    <row r="28" spans="2:14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OFFSET(Members!H103,Members!$L$1,0)</f>
        <v>10</v>
      </c>
      <c r="G28" s="79">
        <f ca="1">OFFSET(Members!H64,Members!$L$1,0)</f>
        <v>14.5</v>
      </c>
      <c r="K28" s="91">
        <f ca="1">SUM(L28*'Price of Tickets'!$H$53,M28*'Price of Tickets'!$H$53,N28*'Price of Tickets'!$H$53+F28+G28)</f>
        <v>81.200000000000017</v>
      </c>
      <c r="L28" s="94" t="b">
        <v>1</v>
      </c>
      <c r="M28" s="94" t="b">
        <v>1</v>
      </c>
      <c r="N28" s="94" t="b">
        <v>1</v>
      </c>
    </row>
    <row r="29" spans="2:14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OFFSET(Members!H104,Members!$L$1,0)</f>
        <v>10</v>
      </c>
      <c r="G29" s="79">
        <f ca="1">OFFSET(Members!H65,Members!$L$1,0)</f>
        <v>14.5</v>
      </c>
      <c r="K29" s="91">
        <f ca="1">SUM(L29*'Price of Tickets'!$H$53,M29*'Price of Tickets'!$H$53,N29*'Price of Tickets'!$H$53+F29+G29)</f>
        <v>81.200000000000017</v>
      </c>
      <c r="L29" s="94" t="b">
        <v>1</v>
      </c>
      <c r="M29" s="94" t="b">
        <v>1</v>
      </c>
      <c r="N29" s="94" t="b">
        <v>1</v>
      </c>
    </row>
    <row r="30" spans="2:14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OFFSET(Members!H105,Members!$L$1,0)</f>
        <v>15</v>
      </c>
      <c r="G30" s="79">
        <f ca="1">OFFSET(Members!H66,Members!$L$1,0)</f>
        <v>20</v>
      </c>
      <c r="K30" s="91">
        <f ca="1">SUM(L30*'Price of Tickets'!$I$25,M30*'Price of Tickets'!$I$26,N30*'Price of Tickets'!$I$27+F30+G30)</f>
        <v>102</v>
      </c>
      <c r="L30" s="94" t="b">
        <v>1</v>
      </c>
      <c r="M30" s="94" t="b">
        <v>1</v>
      </c>
      <c r="N30" s="94" t="b">
        <v>1</v>
      </c>
    </row>
    <row r="31" spans="2:14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OFFSET(Members!H106,Members!$L$1,0)</f>
        <v>15</v>
      </c>
      <c r="G31" s="79">
        <f ca="1">OFFSET(Members!H67,Members!$L$1,0)</f>
        <v>20</v>
      </c>
      <c r="K31" s="91">
        <f ca="1">SUM(L31*'Price of Tickets'!$I$25,M31*'Price of Tickets'!$I$26,N31*'Price of Tickets'!$I$27+F31+G31)</f>
        <v>102</v>
      </c>
      <c r="L31" s="94" t="b">
        <v>1</v>
      </c>
      <c r="M31" s="94" t="b">
        <v>1</v>
      </c>
      <c r="N31" s="94" t="b">
        <v>1</v>
      </c>
    </row>
    <row r="32" spans="2:14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OFFSET(Members!H107,Members!$L$1,0)</f>
        <v>15</v>
      </c>
      <c r="G32" s="79">
        <f ca="1">OFFSET(Members!H68,Members!$L$1,0)</f>
        <v>20</v>
      </c>
      <c r="K32" s="91">
        <f ca="1">SUM(L32*'Price of Tickets'!$I$25,M32*'Price of Tickets'!$I$26,N32*'Price of Tickets'!$I$27+F32+G32)</f>
        <v>102</v>
      </c>
      <c r="L32" s="94" t="b">
        <v>1</v>
      </c>
      <c r="M32" s="94" t="b">
        <v>1</v>
      </c>
      <c r="N32" s="94" t="b">
        <v>1</v>
      </c>
    </row>
    <row r="33" spans="2:14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OFFSET(Members!H108,Members!$L$1,0)</f>
        <v>7.5</v>
      </c>
      <c r="G33" s="79">
        <f ca="1">OFFSET(Members!H69,Members!$L$1,0)</f>
        <v>11</v>
      </c>
      <c r="K33" s="91">
        <f ca="1">SUM(L33*'Price of Tickets'!$H$81,M33*'Price of Tickets'!$H$82,N33*'Price of Tickets'!$H$83+F33+G33)</f>
        <v>73.775000000000006</v>
      </c>
      <c r="L33" s="94" t="b">
        <v>1</v>
      </c>
      <c r="M33" s="94" t="b">
        <v>1</v>
      </c>
      <c r="N33" s="94" t="b">
        <v>1</v>
      </c>
    </row>
    <row r="34" spans="2:14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OFFSET(Members!H109,Members!$L$1,0)</f>
        <v>7.5</v>
      </c>
      <c r="G34" s="79">
        <f ca="1">OFFSET(Members!H70,Members!$L$1,0)</f>
        <v>11</v>
      </c>
      <c r="K34" s="91">
        <f ca="1">SUM(L34*'Price of Tickets'!$H$81,M34*'Price of Tickets'!$H$82,N34*'Price of Tickets'!$H$83+F34+G34)</f>
        <v>73.775000000000006</v>
      </c>
      <c r="L34" s="94" t="b">
        <v>1</v>
      </c>
      <c r="M34" s="94" t="b">
        <v>1</v>
      </c>
      <c r="N34" s="94" t="b">
        <v>1</v>
      </c>
    </row>
    <row r="35" spans="2:14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OFFSET(Members!H110,Members!$L$1,0)</f>
        <v>15</v>
      </c>
      <c r="G35" s="79">
        <f ca="1">OFFSET(Members!H71,Members!$L$1,0)</f>
        <v>20</v>
      </c>
      <c r="K35" s="91">
        <f ca="1">SUM(L35*'Price of Tickets'!$I$25,M35*'Price of Tickets'!$I$26,N35*'Price of Tickets'!$I$27+F35+G35)</f>
        <v>102</v>
      </c>
      <c r="L35" s="94" t="b">
        <v>1</v>
      </c>
      <c r="M35" s="94" t="b">
        <v>1</v>
      </c>
      <c r="N35" s="94" t="b">
        <v>1</v>
      </c>
    </row>
    <row r="36" spans="2:14">
      <c r="L36" s="94"/>
      <c r="M36" s="94"/>
      <c r="N36" s="94"/>
    </row>
    <row r="37" spans="2:14" ht="21">
      <c r="I37" s="102" t="s">
        <v>211</v>
      </c>
      <c r="K37" s="123">
        <f ca="1">SUM(K5:K35)</f>
        <v>2751.65</v>
      </c>
    </row>
    <row r="42" spans="2:14" ht="15.75" thickBot="1"/>
    <row r="43" spans="2:14" ht="16.5" thickTop="1" thickBot="1">
      <c r="B43" s="100" t="s">
        <v>284</v>
      </c>
      <c r="C43" s="99"/>
      <c r="D43" s="96" t="s">
        <v>285</v>
      </c>
      <c r="E43" s="97"/>
    </row>
    <row r="44" spans="2:14" ht="16.5" thickTop="1" thickBot="1">
      <c r="D44" s="96" t="s">
        <v>294</v>
      </c>
      <c r="E44" s="98" t="s">
        <v>301</v>
      </c>
    </row>
    <row r="45" spans="2:14" ht="16.5" thickTop="1" thickBot="1">
      <c r="D45" s="96" t="s">
        <v>288</v>
      </c>
      <c r="E45" s="97" t="s">
        <v>301</v>
      </c>
    </row>
    <row r="46" spans="2:14" ht="16.5" thickTop="1" thickBot="1">
      <c r="D46" s="96" t="s">
        <v>289</v>
      </c>
      <c r="E46" s="98" t="s">
        <v>301</v>
      </c>
    </row>
    <row r="47" spans="2:14" ht="16.5" thickTop="1" thickBot="1">
      <c r="D47" s="96" t="s">
        <v>290</v>
      </c>
      <c r="E47" s="98" t="s">
        <v>301</v>
      </c>
    </row>
    <row r="48" spans="2:14" ht="16.5" thickTop="1" thickBot="1">
      <c r="D48" s="96" t="s">
        <v>291</v>
      </c>
      <c r="E48" s="97"/>
    </row>
    <row r="49" spans="4:5" ht="16.5" thickTop="1" thickBot="1">
      <c r="D49" s="96" t="s">
        <v>295</v>
      </c>
      <c r="E49" s="97"/>
    </row>
    <row r="50" spans="4:5" ht="16.5" thickTop="1" thickBot="1">
      <c r="D50" s="96" t="s">
        <v>296</v>
      </c>
      <c r="E50" s="98" t="s">
        <v>301</v>
      </c>
    </row>
    <row r="51" spans="4:5" ht="16.5" thickTop="1" thickBot="1">
      <c r="D51" s="96" t="s">
        <v>297</v>
      </c>
      <c r="E51" s="98"/>
    </row>
    <row r="52" spans="4:5" ht="16.5" thickTop="1" thickBot="1">
      <c r="D52" s="96" t="s">
        <v>298</v>
      </c>
      <c r="E52" s="97"/>
    </row>
    <row r="53" spans="4:5" ht="16.5" thickTop="1" thickBot="1">
      <c r="D53" s="96" t="s">
        <v>299</v>
      </c>
      <c r="E53" s="98" t="s">
        <v>301</v>
      </c>
    </row>
    <row r="54" spans="4:5" ht="16.5" thickTop="1" thickBot="1">
      <c r="D54" s="96" t="s">
        <v>300</v>
      </c>
      <c r="E54" s="98" t="s">
        <v>301</v>
      </c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Check Box 1">
              <controlPr defaultSize="0" autoFill="0" autoLine="0" autoPict="0">
                <anchor moveWithCells="1">
                  <from>
                    <xdr:col>7</xdr:col>
                    <xdr:colOff>876300</xdr:colOff>
                    <xdr:row>6</xdr:row>
                    <xdr:rowOff>171450</xdr:rowOff>
                  </from>
                  <to>
                    <xdr:col>7</xdr:col>
                    <xdr:colOff>1266825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Check Box 2">
              <controlPr defaultSize="0" autoFill="0" autoLine="0" autoPict="0">
                <anchor moveWithCells="1">
                  <from>
                    <xdr:col>7</xdr:col>
                    <xdr:colOff>876300</xdr:colOff>
                    <xdr:row>7</xdr:row>
                    <xdr:rowOff>171450</xdr:rowOff>
                  </from>
                  <to>
                    <xdr:col>7</xdr:col>
                    <xdr:colOff>1190625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Check Box 3">
              <controlPr defaultSize="0" autoFill="0" autoLine="0" autoPict="0">
                <anchor moveWithCells="1">
                  <from>
                    <xdr:col>7</xdr:col>
                    <xdr:colOff>876300</xdr:colOff>
                    <xdr:row>8</xdr:row>
                    <xdr:rowOff>171450</xdr:rowOff>
                  </from>
                  <to>
                    <xdr:col>7</xdr:col>
                    <xdr:colOff>1190625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Check Box 4">
              <controlPr defaultSize="0" autoFill="0" autoLine="0" autoPict="0">
                <anchor moveWithCells="1">
                  <from>
                    <xdr:col>7</xdr:col>
                    <xdr:colOff>876300</xdr:colOff>
                    <xdr:row>9</xdr:row>
                    <xdr:rowOff>142875</xdr:rowOff>
                  </from>
                  <to>
                    <xdr:col>7</xdr:col>
                    <xdr:colOff>1190625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Check Box 5">
              <controlPr defaultSize="0" autoFill="0" autoLine="0" autoPict="0">
                <anchor moveWithCells="1">
                  <from>
                    <xdr:col>7</xdr:col>
                    <xdr:colOff>876300</xdr:colOff>
                    <xdr:row>10</xdr:row>
                    <xdr:rowOff>142875</xdr:rowOff>
                  </from>
                  <to>
                    <xdr:col>7</xdr:col>
                    <xdr:colOff>1209675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Check Box 6">
              <controlPr defaultSize="0" autoFill="0" autoLine="0" autoPict="0">
                <anchor moveWithCells="1">
                  <from>
                    <xdr:col>7</xdr:col>
                    <xdr:colOff>876300</xdr:colOff>
                    <xdr:row>11</xdr:row>
                    <xdr:rowOff>152400</xdr:rowOff>
                  </from>
                  <to>
                    <xdr:col>7</xdr:col>
                    <xdr:colOff>1219200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Check Box 7">
              <controlPr defaultSize="0" autoFill="0" autoLine="0" autoPict="0">
                <anchor moveWithCells="1">
                  <from>
                    <xdr:col>7</xdr:col>
                    <xdr:colOff>876300</xdr:colOff>
                    <xdr:row>12</xdr:row>
                    <xdr:rowOff>171450</xdr:rowOff>
                  </from>
                  <to>
                    <xdr:col>7</xdr:col>
                    <xdr:colOff>1181100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0" name="Check Box 8">
              <controlPr defaultSize="0" autoFill="0" autoLine="0" autoPict="0">
                <anchor moveWithCells="1">
                  <from>
                    <xdr:col>7</xdr:col>
                    <xdr:colOff>876300</xdr:colOff>
                    <xdr:row>13</xdr:row>
                    <xdr:rowOff>161925</xdr:rowOff>
                  </from>
                  <to>
                    <xdr:col>7</xdr:col>
                    <xdr:colOff>1190625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1" name="Check Box 9">
              <controlPr defaultSize="0" autoFill="0" autoLine="0" autoPict="0">
                <anchor moveWithCells="1">
                  <from>
                    <xdr:col>7</xdr:col>
                    <xdr:colOff>876300</xdr:colOff>
                    <xdr:row>14</xdr:row>
                    <xdr:rowOff>152400</xdr:rowOff>
                  </from>
                  <to>
                    <xdr:col>8</xdr:col>
                    <xdr:colOff>228600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2" name="Check Box 10">
              <controlPr defaultSize="0" autoFill="0" autoLine="0" autoPict="0">
                <anchor moveWithCells="1">
                  <from>
                    <xdr:col>7</xdr:col>
                    <xdr:colOff>876300</xdr:colOff>
                    <xdr:row>15</xdr:row>
                    <xdr:rowOff>180975</xdr:rowOff>
                  </from>
                  <to>
                    <xdr:col>7</xdr:col>
                    <xdr:colOff>1209675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3" name="Check Box 11">
              <controlPr defaultSize="0" autoFill="0" autoLine="0" autoPict="0">
                <anchor moveWithCells="1">
                  <from>
                    <xdr:col>7</xdr:col>
                    <xdr:colOff>876300</xdr:colOff>
                    <xdr:row>16</xdr:row>
                    <xdr:rowOff>171450</xdr:rowOff>
                  </from>
                  <to>
                    <xdr:col>7</xdr:col>
                    <xdr:colOff>1238250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4" name="Check Box 12">
              <controlPr defaultSize="0" autoFill="0" autoLine="0" autoPict="0">
                <anchor moveWithCells="1">
                  <from>
                    <xdr:col>7</xdr:col>
                    <xdr:colOff>876300</xdr:colOff>
                    <xdr:row>17</xdr:row>
                    <xdr:rowOff>161925</xdr:rowOff>
                  </from>
                  <to>
                    <xdr:col>7</xdr:col>
                    <xdr:colOff>1209675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15" name="Check Box 13">
              <controlPr defaultSize="0" autoFill="0" autoLine="0" autoPict="0">
                <anchor moveWithCells="1">
                  <from>
                    <xdr:col>7</xdr:col>
                    <xdr:colOff>876300</xdr:colOff>
                    <xdr:row>18</xdr:row>
                    <xdr:rowOff>171450</xdr:rowOff>
                  </from>
                  <to>
                    <xdr:col>7</xdr:col>
                    <xdr:colOff>1181100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16" name="Check Box 14">
              <controlPr defaultSize="0" autoFill="0" autoLine="0" autoPict="0">
                <anchor moveWithCells="1">
                  <from>
                    <xdr:col>7</xdr:col>
                    <xdr:colOff>876300</xdr:colOff>
                    <xdr:row>20</xdr:row>
                    <xdr:rowOff>0</xdr:rowOff>
                  </from>
                  <to>
                    <xdr:col>7</xdr:col>
                    <xdr:colOff>1152525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9" r:id="rId17" name="Check Box 15">
              <controlPr defaultSize="0" autoFill="0" autoLine="0" autoPict="0">
                <anchor moveWithCells="1">
                  <from>
                    <xdr:col>7</xdr:col>
                    <xdr:colOff>876300</xdr:colOff>
                    <xdr:row>20</xdr:row>
                    <xdr:rowOff>152400</xdr:rowOff>
                  </from>
                  <to>
                    <xdr:col>7</xdr:col>
                    <xdr:colOff>1181100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0" r:id="rId18" name="Check Box 16">
              <controlPr defaultSize="0" autoFill="0" autoLine="0" autoPict="0">
                <anchor moveWithCells="1">
                  <from>
                    <xdr:col>7</xdr:col>
                    <xdr:colOff>876300</xdr:colOff>
                    <xdr:row>21</xdr:row>
                    <xdr:rowOff>152400</xdr:rowOff>
                  </from>
                  <to>
                    <xdr:col>7</xdr:col>
                    <xdr:colOff>1209675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1" r:id="rId19" name="Check Box 17">
              <controlPr defaultSize="0" autoFill="0" autoLine="0" autoPict="0">
                <anchor moveWithCells="1">
                  <from>
                    <xdr:col>7</xdr:col>
                    <xdr:colOff>876300</xdr:colOff>
                    <xdr:row>22</xdr:row>
                    <xdr:rowOff>152400</xdr:rowOff>
                  </from>
                  <to>
                    <xdr:col>7</xdr:col>
                    <xdr:colOff>1209675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2" r:id="rId20" name="Check Box 18">
              <controlPr defaultSize="0" autoFill="0" autoLine="0" autoPict="0">
                <anchor moveWithCells="1">
                  <from>
                    <xdr:col>7</xdr:col>
                    <xdr:colOff>876300</xdr:colOff>
                    <xdr:row>23</xdr:row>
                    <xdr:rowOff>171450</xdr:rowOff>
                  </from>
                  <to>
                    <xdr:col>7</xdr:col>
                    <xdr:colOff>1209675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21" name="Check Box 19">
              <controlPr defaultSize="0" autoFill="0" autoLine="0" autoPict="0">
                <anchor moveWithCells="1">
                  <from>
                    <xdr:col>7</xdr:col>
                    <xdr:colOff>876300</xdr:colOff>
                    <xdr:row>24</xdr:row>
                    <xdr:rowOff>161925</xdr:rowOff>
                  </from>
                  <to>
                    <xdr:col>7</xdr:col>
                    <xdr:colOff>1190625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4" r:id="rId22" name="Check Box 20">
              <controlPr defaultSize="0" autoFill="0" autoLine="0" autoPict="0">
                <anchor moveWithCells="1">
                  <from>
                    <xdr:col>7</xdr:col>
                    <xdr:colOff>876300</xdr:colOff>
                    <xdr:row>25</xdr:row>
                    <xdr:rowOff>171450</xdr:rowOff>
                  </from>
                  <to>
                    <xdr:col>7</xdr:col>
                    <xdr:colOff>1171575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5" r:id="rId23" name="Check Box 21">
              <controlPr defaultSize="0" autoFill="0" autoLine="0" autoPict="0">
                <anchor moveWithCells="1">
                  <from>
                    <xdr:col>7</xdr:col>
                    <xdr:colOff>876300</xdr:colOff>
                    <xdr:row>5</xdr:row>
                    <xdr:rowOff>171450</xdr:rowOff>
                  </from>
                  <to>
                    <xdr:col>7</xdr:col>
                    <xdr:colOff>1304925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6" r:id="rId24" name="Check Box 22">
              <controlPr defaultSize="0" autoFill="0" autoLine="0" autoPict="0">
                <anchor moveWithCells="1">
                  <from>
                    <xdr:col>7</xdr:col>
                    <xdr:colOff>876300</xdr:colOff>
                    <xdr:row>4</xdr:row>
                    <xdr:rowOff>152400</xdr:rowOff>
                  </from>
                  <to>
                    <xdr:col>7</xdr:col>
                    <xdr:colOff>1276350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7" r:id="rId25" name="Check Box 23">
              <controlPr defaultSize="0" autoFill="0" autoLine="0" autoPict="0">
                <anchor moveWithCells="1">
                  <from>
                    <xdr:col>8</xdr:col>
                    <xdr:colOff>1076325</xdr:colOff>
                    <xdr:row>5</xdr:row>
                    <xdr:rowOff>171450</xdr:rowOff>
                  </from>
                  <to>
                    <xdr:col>8</xdr:col>
                    <xdr:colOff>1543050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8" r:id="rId26" name="Check Box 24">
              <controlPr defaultSize="0" autoFill="0" autoLine="0" autoPict="0">
                <anchor moveWithCells="1">
                  <from>
                    <xdr:col>8</xdr:col>
                    <xdr:colOff>1076325</xdr:colOff>
                    <xdr:row>6</xdr:row>
                    <xdr:rowOff>180975</xdr:rowOff>
                  </from>
                  <to>
                    <xdr:col>8</xdr:col>
                    <xdr:colOff>1543050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9" r:id="rId27" name="Check Box 25">
              <controlPr defaultSize="0" autoFill="0" autoLine="0" autoPict="0">
                <anchor moveWithCells="1">
                  <from>
                    <xdr:col>8</xdr:col>
                    <xdr:colOff>1076325</xdr:colOff>
                    <xdr:row>7</xdr:row>
                    <xdr:rowOff>171450</xdr:rowOff>
                  </from>
                  <to>
                    <xdr:col>8</xdr:col>
                    <xdr:colOff>1543050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0" r:id="rId28" name="Check Box 26">
              <controlPr defaultSize="0" autoFill="0" autoLine="0" autoPict="0">
                <anchor moveWithCells="1">
                  <from>
                    <xdr:col>8</xdr:col>
                    <xdr:colOff>1076325</xdr:colOff>
                    <xdr:row>9</xdr:row>
                    <xdr:rowOff>0</xdr:rowOff>
                  </from>
                  <to>
                    <xdr:col>8</xdr:col>
                    <xdr:colOff>1543050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1" r:id="rId29" name="Check Box 27">
              <controlPr defaultSize="0" autoFill="0" autoLine="0" autoPict="0">
                <anchor moveWithCells="1">
                  <from>
                    <xdr:col>8</xdr:col>
                    <xdr:colOff>1076325</xdr:colOff>
                    <xdr:row>10</xdr:row>
                    <xdr:rowOff>180975</xdr:rowOff>
                  </from>
                  <to>
                    <xdr:col>8</xdr:col>
                    <xdr:colOff>1543050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2" r:id="rId30" name="Check Box 28">
              <controlPr defaultSize="0" autoFill="0" autoLine="0" autoPict="0">
                <anchor moveWithCells="1">
                  <from>
                    <xdr:col>8</xdr:col>
                    <xdr:colOff>1076325</xdr:colOff>
                    <xdr:row>11</xdr:row>
                    <xdr:rowOff>180975</xdr:rowOff>
                  </from>
                  <to>
                    <xdr:col>8</xdr:col>
                    <xdr:colOff>1543050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3" r:id="rId31" name="Check Box 29">
              <controlPr defaultSize="0" autoFill="0" autoLine="0" autoPict="0">
                <anchor moveWithCells="1">
                  <from>
                    <xdr:col>8</xdr:col>
                    <xdr:colOff>1076325</xdr:colOff>
                    <xdr:row>12</xdr:row>
                    <xdr:rowOff>171450</xdr:rowOff>
                  </from>
                  <to>
                    <xdr:col>8</xdr:col>
                    <xdr:colOff>1543050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4" r:id="rId32" name="Check Box 30">
              <controlPr defaultSize="0" autoFill="0" autoLine="0" autoPict="0">
                <anchor moveWithCells="1">
                  <from>
                    <xdr:col>8</xdr:col>
                    <xdr:colOff>1076325</xdr:colOff>
                    <xdr:row>13</xdr:row>
                    <xdr:rowOff>180975</xdr:rowOff>
                  </from>
                  <to>
                    <xdr:col>8</xdr:col>
                    <xdr:colOff>1543050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5" r:id="rId33" name="Check Box 31">
              <controlPr defaultSize="0" autoFill="0" autoLine="0" autoPict="0">
                <anchor moveWithCells="1">
                  <from>
                    <xdr:col>8</xdr:col>
                    <xdr:colOff>1076325</xdr:colOff>
                    <xdr:row>14</xdr:row>
                    <xdr:rowOff>161925</xdr:rowOff>
                  </from>
                  <to>
                    <xdr:col>8</xdr:col>
                    <xdr:colOff>1543050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6" r:id="rId34" name="Check Box 32">
              <controlPr defaultSize="0" autoFill="0" autoLine="0" autoPict="0">
                <anchor moveWithCells="1">
                  <from>
                    <xdr:col>8</xdr:col>
                    <xdr:colOff>1076325</xdr:colOff>
                    <xdr:row>15</xdr:row>
                    <xdr:rowOff>161925</xdr:rowOff>
                  </from>
                  <to>
                    <xdr:col>8</xdr:col>
                    <xdr:colOff>1543050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7" r:id="rId35" name="Check Box 33">
              <controlPr defaultSize="0" autoFill="0" autoLine="0" autoPict="0">
                <anchor moveWithCells="1">
                  <from>
                    <xdr:col>8</xdr:col>
                    <xdr:colOff>1076325</xdr:colOff>
                    <xdr:row>17</xdr:row>
                    <xdr:rowOff>0</xdr:rowOff>
                  </from>
                  <to>
                    <xdr:col>8</xdr:col>
                    <xdr:colOff>1543050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8" r:id="rId36" name="Check Box 34">
              <controlPr defaultSize="0" autoFill="0" autoLine="0" autoPict="0">
                <anchor moveWithCells="1">
                  <from>
                    <xdr:col>8</xdr:col>
                    <xdr:colOff>1076325</xdr:colOff>
                    <xdr:row>17</xdr:row>
                    <xdr:rowOff>180975</xdr:rowOff>
                  </from>
                  <to>
                    <xdr:col>8</xdr:col>
                    <xdr:colOff>1543050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9" r:id="rId37" name="Check Box 35">
              <controlPr defaultSize="0" autoFill="0" autoLine="0" autoPict="0">
                <anchor moveWithCells="1">
                  <from>
                    <xdr:col>8</xdr:col>
                    <xdr:colOff>1076325</xdr:colOff>
                    <xdr:row>18</xdr:row>
                    <xdr:rowOff>171450</xdr:rowOff>
                  </from>
                  <to>
                    <xdr:col>8</xdr:col>
                    <xdr:colOff>1543050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0" r:id="rId38" name="Check Box 36">
              <controlPr defaultSize="0" autoFill="0" autoLine="0" autoPict="0">
                <anchor moveWithCells="1">
                  <from>
                    <xdr:col>8</xdr:col>
                    <xdr:colOff>1076325</xdr:colOff>
                    <xdr:row>19</xdr:row>
                    <xdr:rowOff>161925</xdr:rowOff>
                  </from>
                  <to>
                    <xdr:col>8</xdr:col>
                    <xdr:colOff>1543050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1" r:id="rId39" name="Check Box 37">
              <controlPr defaultSize="0" autoFill="0" autoLine="0" autoPict="0">
                <anchor moveWithCells="1">
                  <from>
                    <xdr:col>8</xdr:col>
                    <xdr:colOff>1076325</xdr:colOff>
                    <xdr:row>20</xdr:row>
                    <xdr:rowOff>171450</xdr:rowOff>
                  </from>
                  <to>
                    <xdr:col>8</xdr:col>
                    <xdr:colOff>1543050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2" r:id="rId40" name="Check Box 38">
              <controlPr defaultSize="0" autoFill="0" autoLine="0" autoPict="0">
                <anchor moveWithCells="1">
                  <from>
                    <xdr:col>8</xdr:col>
                    <xdr:colOff>1076325</xdr:colOff>
                    <xdr:row>21</xdr:row>
                    <xdr:rowOff>161925</xdr:rowOff>
                  </from>
                  <to>
                    <xdr:col>8</xdr:col>
                    <xdr:colOff>1543050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3" r:id="rId41" name="Check Box 39">
              <controlPr defaultSize="0" autoFill="0" autoLine="0" autoPict="0">
                <anchor moveWithCells="1">
                  <from>
                    <xdr:col>8</xdr:col>
                    <xdr:colOff>1076325</xdr:colOff>
                    <xdr:row>22</xdr:row>
                    <xdr:rowOff>161925</xdr:rowOff>
                  </from>
                  <to>
                    <xdr:col>8</xdr:col>
                    <xdr:colOff>1543050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4" r:id="rId42" name="Check Box 40">
              <controlPr defaultSize="0" autoFill="0" autoLine="0" autoPict="0">
                <anchor moveWithCells="1">
                  <from>
                    <xdr:col>8</xdr:col>
                    <xdr:colOff>1076325</xdr:colOff>
                    <xdr:row>23</xdr:row>
                    <xdr:rowOff>161925</xdr:rowOff>
                  </from>
                  <to>
                    <xdr:col>8</xdr:col>
                    <xdr:colOff>1543050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5" r:id="rId43" name="Check Box 41">
              <controlPr defaultSize="0" autoFill="0" autoLine="0" autoPict="0">
                <anchor moveWithCells="1">
                  <from>
                    <xdr:col>8</xdr:col>
                    <xdr:colOff>1076325</xdr:colOff>
                    <xdr:row>25</xdr:row>
                    <xdr:rowOff>0</xdr:rowOff>
                  </from>
                  <to>
                    <xdr:col>8</xdr:col>
                    <xdr:colOff>1543050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6" r:id="rId44" name="Check Box 42">
              <controlPr defaultSize="0" autoFill="0" autoLine="0" autoPict="0">
                <anchor moveWithCells="1">
                  <from>
                    <xdr:col>8</xdr:col>
                    <xdr:colOff>1076325</xdr:colOff>
                    <xdr:row>26</xdr:row>
                    <xdr:rowOff>9525</xdr:rowOff>
                  </from>
                  <to>
                    <xdr:col>8</xdr:col>
                    <xdr:colOff>1543050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7" r:id="rId45" name="Check Box 43">
              <controlPr defaultSize="0" autoFill="0" autoLine="0" autoPict="0">
                <anchor moveWithCells="1">
                  <from>
                    <xdr:col>8</xdr:col>
                    <xdr:colOff>1076325</xdr:colOff>
                    <xdr:row>4</xdr:row>
                    <xdr:rowOff>171450</xdr:rowOff>
                  </from>
                  <to>
                    <xdr:col>8</xdr:col>
                    <xdr:colOff>1590675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8" r:id="rId46" name="Check Box 44">
              <controlPr defaultSize="0" autoFill="0" autoLine="0" autoPict="0">
                <anchor moveWithCells="1">
                  <from>
                    <xdr:col>8</xdr:col>
                    <xdr:colOff>1076325</xdr:colOff>
                    <xdr:row>3</xdr:row>
                    <xdr:rowOff>161925</xdr:rowOff>
                  </from>
                  <to>
                    <xdr:col>8</xdr:col>
                    <xdr:colOff>1714500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7" r:id="rId47" name="Check Box 63">
              <controlPr defaultSize="0" autoFill="0" autoLine="0" autoPict="0">
                <anchor moveWithCells="1">
                  <from>
                    <xdr:col>9</xdr:col>
                    <xdr:colOff>628650</xdr:colOff>
                    <xdr:row>3</xdr:row>
                    <xdr:rowOff>180975</xdr:rowOff>
                  </from>
                  <to>
                    <xdr:col>10</xdr:col>
                    <xdr:colOff>552450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1" r:id="rId48" name="Check Box 67">
              <controlPr defaultSize="0" autoFill="0" autoLine="0" autoPict="0">
                <anchor moveWithCells="1">
                  <from>
                    <xdr:col>7</xdr:col>
                    <xdr:colOff>876300</xdr:colOff>
                    <xdr:row>3</xdr:row>
                    <xdr:rowOff>152400</xdr:rowOff>
                  </from>
                  <to>
                    <xdr:col>7</xdr:col>
                    <xdr:colOff>1276350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2" r:id="rId49" name="Check Box 68">
              <controlPr defaultSize="0" autoFill="0" autoLine="0" autoPict="0">
                <anchor moveWithCells="1">
                  <from>
                    <xdr:col>8</xdr:col>
                    <xdr:colOff>1076325</xdr:colOff>
                    <xdr:row>9</xdr:row>
                    <xdr:rowOff>171450</xdr:rowOff>
                  </from>
                  <to>
                    <xdr:col>8</xdr:col>
                    <xdr:colOff>1543050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4" r:id="rId50" name="Check Box 70">
              <controlPr defaultSize="0" autoFill="0" autoLine="0" autoPict="0">
                <anchor moveWithCells="1">
                  <from>
                    <xdr:col>7</xdr:col>
                    <xdr:colOff>866775</xdr:colOff>
                    <xdr:row>27</xdr:row>
                    <xdr:rowOff>19050</xdr:rowOff>
                  </from>
                  <to>
                    <xdr:col>7</xdr:col>
                    <xdr:colOff>1143000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5" r:id="rId51" name="Check Box 71">
              <controlPr defaultSize="0" autoFill="0" autoLine="0" autoPict="0">
                <anchor moveWithCells="1">
                  <from>
                    <xdr:col>7</xdr:col>
                    <xdr:colOff>857250</xdr:colOff>
                    <xdr:row>28</xdr:row>
                    <xdr:rowOff>0</xdr:rowOff>
                  </from>
                  <to>
                    <xdr:col>7</xdr:col>
                    <xdr:colOff>1162050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6" r:id="rId52" name="Check Box 72">
              <controlPr defaultSize="0" autoFill="0" autoLine="0" autoPict="0">
                <anchor moveWithCells="1">
                  <from>
                    <xdr:col>7</xdr:col>
                    <xdr:colOff>866775</xdr:colOff>
                    <xdr:row>28</xdr:row>
                    <xdr:rowOff>171450</xdr:rowOff>
                  </from>
                  <to>
                    <xdr:col>7</xdr:col>
                    <xdr:colOff>1200150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7" r:id="rId53" name="Check Box 73">
              <controlPr defaultSize="0" autoFill="0" autoLine="0" autoPict="0">
                <anchor moveWithCells="1">
                  <from>
                    <xdr:col>7</xdr:col>
                    <xdr:colOff>866775</xdr:colOff>
                    <xdr:row>29</xdr:row>
                    <xdr:rowOff>171450</xdr:rowOff>
                  </from>
                  <to>
                    <xdr:col>7</xdr:col>
                    <xdr:colOff>1200150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8" r:id="rId54" name="Check Box 74">
              <controlPr defaultSize="0" autoFill="0" autoLine="0" autoPict="0">
                <anchor moveWithCells="1">
                  <from>
                    <xdr:col>7</xdr:col>
                    <xdr:colOff>866775</xdr:colOff>
                    <xdr:row>31</xdr:row>
                    <xdr:rowOff>0</xdr:rowOff>
                  </from>
                  <to>
                    <xdr:col>7</xdr:col>
                    <xdr:colOff>1200150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9" r:id="rId55" name="Check Box 75">
              <controlPr defaultSize="0" autoFill="0" autoLine="0" autoPict="0">
                <anchor moveWithCells="1">
                  <from>
                    <xdr:col>7</xdr:col>
                    <xdr:colOff>866775</xdr:colOff>
                    <xdr:row>31</xdr:row>
                    <xdr:rowOff>180975</xdr:rowOff>
                  </from>
                  <to>
                    <xdr:col>7</xdr:col>
                    <xdr:colOff>1181100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0" r:id="rId56" name="Check Box 76">
              <controlPr defaultSize="0" autoFill="0" autoLine="0" autoPict="0">
                <anchor moveWithCells="1">
                  <from>
                    <xdr:col>7</xdr:col>
                    <xdr:colOff>866775</xdr:colOff>
                    <xdr:row>32</xdr:row>
                    <xdr:rowOff>171450</xdr:rowOff>
                  </from>
                  <to>
                    <xdr:col>7</xdr:col>
                    <xdr:colOff>1162050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1" r:id="rId57" name="Check Box 77">
              <controlPr defaultSize="0" autoFill="0" autoLine="0" autoPict="0">
                <anchor moveWithCells="1">
                  <from>
                    <xdr:col>8</xdr:col>
                    <xdr:colOff>1066800</xdr:colOff>
                    <xdr:row>26</xdr:row>
                    <xdr:rowOff>180975</xdr:rowOff>
                  </from>
                  <to>
                    <xdr:col>8</xdr:col>
                    <xdr:colOff>1533525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2" r:id="rId58" name="Check Box 78">
              <controlPr defaultSize="0" autoFill="0" autoLine="0" autoPict="0">
                <anchor moveWithCells="1">
                  <from>
                    <xdr:col>8</xdr:col>
                    <xdr:colOff>1066800</xdr:colOff>
                    <xdr:row>28</xdr:row>
                    <xdr:rowOff>0</xdr:rowOff>
                  </from>
                  <to>
                    <xdr:col>8</xdr:col>
                    <xdr:colOff>1533525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3" r:id="rId59" name="Check Box 79">
              <controlPr defaultSize="0" autoFill="0" autoLine="0" autoPict="0">
                <anchor moveWithCells="1">
                  <from>
                    <xdr:col>8</xdr:col>
                    <xdr:colOff>1066800</xdr:colOff>
                    <xdr:row>28</xdr:row>
                    <xdr:rowOff>180975</xdr:rowOff>
                  </from>
                  <to>
                    <xdr:col>8</xdr:col>
                    <xdr:colOff>1533525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4" r:id="rId60" name="Check Box 80">
              <controlPr defaultSize="0" autoFill="0" autoLine="0" autoPict="0">
                <anchor moveWithCells="1">
                  <from>
                    <xdr:col>8</xdr:col>
                    <xdr:colOff>1066800</xdr:colOff>
                    <xdr:row>29</xdr:row>
                    <xdr:rowOff>180975</xdr:rowOff>
                  </from>
                  <to>
                    <xdr:col>8</xdr:col>
                    <xdr:colOff>1533525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5" r:id="rId61" name="Check Box 81">
              <controlPr defaultSize="0" autoFill="0" autoLine="0" autoPict="0">
                <anchor moveWithCells="1">
                  <from>
                    <xdr:col>8</xdr:col>
                    <xdr:colOff>1066800</xdr:colOff>
                    <xdr:row>30</xdr:row>
                    <xdr:rowOff>180975</xdr:rowOff>
                  </from>
                  <to>
                    <xdr:col>8</xdr:col>
                    <xdr:colOff>1533525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6" r:id="rId62" name="Check Box 82">
              <controlPr defaultSize="0" autoFill="0" autoLine="0" autoPict="0">
                <anchor moveWithCells="1">
                  <from>
                    <xdr:col>8</xdr:col>
                    <xdr:colOff>1066800</xdr:colOff>
                    <xdr:row>32</xdr:row>
                    <xdr:rowOff>19050</xdr:rowOff>
                  </from>
                  <to>
                    <xdr:col>8</xdr:col>
                    <xdr:colOff>1533525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7" r:id="rId63" name="Check Box 83">
              <controlPr defaultSize="0" autoFill="0" autoLine="0" autoPict="0">
                <anchor moveWithCells="1">
                  <from>
                    <xdr:col>8</xdr:col>
                    <xdr:colOff>1066800</xdr:colOff>
                    <xdr:row>33</xdr:row>
                    <xdr:rowOff>9525</xdr:rowOff>
                  </from>
                  <to>
                    <xdr:col>8</xdr:col>
                    <xdr:colOff>1533525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5" r:id="rId64" name="Check Box 91">
              <controlPr defaultSize="0" autoFill="0" autoLine="0" autoPict="0">
                <anchor moveWithCells="1">
                  <from>
                    <xdr:col>7</xdr:col>
                    <xdr:colOff>866775</xdr:colOff>
                    <xdr:row>33</xdr:row>
                    <xdr:rowOff>152400</xdr:rowOff>
                  </from>
                  <to>
                    <xdr:col>7</xdr:col>
                    <xdr:colOff>1162050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6" r:id="rId65" name="Check Box 92">
              <controlPr defaultSize="0" autoFill="0" autoLine="0" autoPict="0">
                <anchor moveWithCells="1">
                  <from>
                    <xdr:col>8</xdr:col>
                    <xdr:colOff>1066800</xdr:colOff>
                    <xdr:row>33</xdr:row>
                    <xdr:rowOff>180975</xdr:rowOff>
                  </from>
                  <to>
                    <xdr:col>8</xdr:col>
                    <xdr:colOff>1533525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8" r:id="rId66" name="Check Box 94">
              <controlPr defaultSize="0" autoFill="0" autoLine="0" autoPict="0">
                <anchor moveWithCells="1">
                  <from>
                    <xdr:col>9</xdr:col>
                    <xdr:colOff>628650</xdr:colOff>
                    <xdr:row>4</xdr:row>
                    <xdr:rowOff>180975</xdr:rowOff>
                  </from>
                  <to>
                    <xdr:col>10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9" r:id="rId67" name="Check Box 95">
              <controlPr defaultSize="0" autoFill="0" autoLine="0" autoPict="0">
                <anchor moveWithCells="1">
                  <from>
                    <xdr:col>9</xdr:col>
                    <xdr:colOff>628650</xdr:colOff>
                    <xdr:row>5</xdr:row>
                    <xdr:rowOff>180975</xdr:rowOff>
                  </from>
                  <to>
                    <xdr:col>10</xdr:col>
                    <xdr:colOff>552450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0" r:id="rId68" name="Check Box 96">
              <controlPr defaultSize="0" autoFill="0" autoLine="0" autoPict="0">
                <anchor moveWithCells="1">
                  <from>
                    <xdr:col>9</xdr:col>
                    <xdr:colOff>628650</xdr:colOff>
                    <xdr:row>6</xdr:row>
                    <xdr:rowOff>180975</xdr:rowOff>
                  </from>
                  <to>
                    <xdr:col>10</xdr:col>
                    <xdr:colOff>552450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1" r:id="rId69" name="Check Box 97">
              <controlPr defaultSize="0" autoFill="0" autoLine="0" autoPict="0">
                <anchor moveWithCells="1">
                  <from>
                    <xdr:col>9</xdr:col>
                    <xdr:colOff>628650</xdr:colOff>
                    <xdr:row>7</xdr:row>
                    <xdr:rowOff>180975</xdr:rowOff>
                  </from>
                  <to>
                    <xdr:col>10</xdr:col>
                    <xdr:colOff>552450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2" r:id="rId70" name="Check Box 98">
              <controlPr defaultSize="0" autoFill="0" autoLine="0" autoPict="0">
                <anchor moveWithCells="1">
                  <from>
                    <xdr:col>9</xdr:col>
                    <xdr:colOff>628650</xdr:colOff>
                    <xdr:row>8</xdr:row>
                    <xdr:rowOff>180975</xdr:rowOff>
                  </from>
                  <to>
                    <xdr:col>10</xdr:col>
                    <xdr:colOff>552450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3" r:id="rId71" name="Check Box 99">
              <controlPr defaultSize="0" autoFill="0" autoLine="0" autoPict="0">
                <anchor moveWithCells="1">
                  <from>
                    <xdr:col>9</xdr:col>
                    <xdr:colOff>628650</xdr:colOff>
                    <xdr:row>9</xdr:row>
                    <xdr:rowOff>180975</xdr:rowOff>
                  </from>
                  <to>
                    <xdr:col>10</xdr:col>
                    <xdr:colOff>552450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4" r:id="rId72" name="Check Box 100">
              <controlPr defaultSize="0" autoFill="0" autoLine="0" autoPict="0">
                <anchor moveWithCells="1">
                  <from>
                    <xdr:col>9</xdr:col>
                    <xdr:colOff>628650</xdr:colOff>
                    <xdr:row>10</xdr:row>
                    <xdr:rowOff>180975</xdr:rowOff>
                  </from>
                  <to>
                    <xdr:col>10</xdr:col>
                    <xdr:colOff>552450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5" r:id="rId73" name="Check Box 101">
              <controlPr defaultSize="0" autoFill="0" autoLine="0" autoPict="0">
                <anchor moveWithCells="1">
                  <from>
                    <xdr:col>9</xdr:col>
                    <xdr:colOff>628650</xdr:colOff>
                    <xdr:row>11</xdr:row>
                    <xdr:rowOff>180975</xdr:rowOff>
                  </from>
                  <to>
                    <xdr:col>10</xdr:col>
                    <xdr:colOff>552450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" r:id="rId74" name="Check Box 102">
              <controlPr defaultSize="0" autoFill="0" autoLine="0" autoPict="0">
                <anchor moveWithCells="1">
                  <from>
                    <xdr:col>9</xdr:col>
                    <xdr:colOff>628650</xdr:colOff>
                    <xdr:row>12</xdr:row>
                    <xdr:rowOff>180975</xdr:rowOff>
                  </from>
                  <to>
                    <xdr:col>10</xdr:col>
                    <xdr:colOff>552450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" r:id="rId75" name="Check Box 103">
              <controlPr defaultSize="0" autoFill="0" autoLine="0" autoPict="0">
                <anchor moveWithCells="1">
                  <from>
                    <xdr:col>9</xdr:col>
                    <xdr:colOff>628650</xdr:colOff>
                    <xdr:row>13</xdr:row>
                    <xdr:rowOff>180975</xdr:rowOff>
                  </from>
                  <to>
                    <xdr:col>10</xdr:col>
                    <xdr:colOff>552450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8" r:id="rId76" name="Check Box 104">
              <controlPr defaultSize="0" autoFill="0" autoLine="0" autoPict="0">
                <anchor moveWithCells="1">
                  <from>
                    <xdr:col>9</xdr:col>
                    <xdr:colOff>628650</xdr:colOff>
                    <xdr:row>14</xdr:row>
                    <xdr:rowOff>180975</xdr:rowOff>
                  </from>
                  <to>
                    <xdr:col>10</xdr:col>
                    <xdr:colOff>552450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9" r:id="rId77" name="Check Box 105">
              <controlPr defaultSize="0" autoFill="0" autoLine="0" autoPict="0">
                <anchor moveWithCells="1">
                  <from>
                    <xdr:col>9</xdr:col>
                    <xdr:colOff>628650</xdr:colOff>
                    <xdr:row>15</xdr:row>
                    <xdr:rowOff>180975</xdr:rowOff>
                  </from>
                  <to>
                    <xdr:col>10</xdr:col>
                    <xdr:colOff>552450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0" r:id="rId78" name="Check Box 106">
              <controlPr defaultSize="0" autoFill="0" autoLine="0" autoPict="0">
                <anchor moveWithCells="1">
                  <from>
                    <xdr:col>9</xdr:col>
                    <xdr:colOff>628650</xdr:colOff>
                    <xdr:row>16</xdr:row>
                    <xdr:rowOff>180975</xdr:rowOff>
                  </from>
                  <to>
                    <xdr:col>10</xdr:col>
                    <xdr:colOff>552450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1" r:id="rId79" name="Check Box 107">
              <controlPr defaultSize="0" autoFill="0" autoLine="0" autoPict="0">
                <anchor moveWithCells="1">
                  <from>
                    <xdr:col>9</xdr:col>
                    <xdr:colOff>628650</xdr:colOff>
                    <xdr:row>17</xdr:row>
                    <xdr:rowOff>180975</xdr:rowOff>
                  </from>
                  <to>
                    <xdr:col>10</xdr:col>
                    <xdr:colOff>552450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2" r:id="rId80" name="Check Box 108">
              <controlPr defaultSize="0" autoFill="0" autoLine="0" autoPict="0">
                <anchor moveWithCells="1">
                  <from>
                    <xdr:col>9</xdr:col>
                    <xdr:colOff>628650</xdr:colOff>
                    <xdr:row>18</xdr:row>
                    <xdr:rowOff>180975</xdr:rowOff>
                  </from>
                  <to>
                    <xdr:col>10</xdr:col>
                    <xdr:colOff>552450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3" r:id="rId81" name="Check Box 109">
              <controlPr defaultSize="0" autoFill="0" autoLine="0" autoPict="0">
                <anchor moveWithCells="1">
                  <from>
                    <xdr:col>9</xdr:col>
                    <xdr:colOff>628650</xdr:colOff>
                    <xdr:row>19</xdr:row>
                    <xdr:rowOff>180975</xdr:rowOff>
                  </from>
                  <to>
                    <xdr:col>10</xdr:col>
                    <xdr:colOff>552450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4" r:id="rId82" name="Check Box 110">
              <controlPr defaultSize="0" autoFill="0" autoLine="0" autoPict="0">
                <anchor moveWithCells="1">
                  <from>
                    <xdr:col>9</xdr:col>
                    <xdr:colOff>628650</xdr:colOff>
                    <xdr:row>20</xdr:row>
                    <xdr:rowOff>180975</xdr:rowOff>
                  </from>
                  <to>
                    <xdr:col>10</xdr:col>
                    <xdr:colOff>552450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5" r:id="rId83" name="Check Box 111">
              <controlPr defaultSize="0" autoFill="0" autoLine="0" autoPict="0">
                <anchor moveWithCells="1">
                  <from>
                    <xdr:col>9</xdr:col>
                    <xdr:colOff>628650</xdr:colOff>
                    <xdr:row>21</xdr:row>
                    <xdr:rowOff>180975</xdr:rowOff>
                  </from>
                  <to>
                    <xdr:col>10</xdr:col>
                    <xdr:colOff>552450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6" r:id="rId84" name="Check Box 112">
              <controlPr defaultSize="0" autoFill="0" autoLine="0" autoPict="0">
                <anchor moveWithCells="1">
                  <from>
                    <xdr:col>9</xdr:col>
                    <xdr:colOff>628650</xdr:colOff>
                    <xdr:row>22</xdr:row>
                    <xdr:rowOff>180975</xdr:rowOff>
                  </from>
                  <to>
                    <xdr:col>10</xdr:col>
                    <xdr:colOff>552450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7" r:id="rId85" name="Check Box 113">
              <controlPr defaultSize="0" autoFill="0" autoLine="0" autoPict="0">
                <anchor moveWithCells="1">
                  <from>
                    <xdr:col>9</xdr:col>
                    <xdr:colOff>628650</xdr:colOff>
                    <xdr:row>23</xdr:row>
                    <xdr:rowOff>180975</xdr:rowOff>
                  </from>
                  <to>
                    <xdr:col>10</xdr:col>
                    <xdr:colOff>552450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8" r:id="rId86" name="Check Box 114">
              <controlPr defaultSize="0" autoFill="0" autoLine="0" autoPict="0">
                <anchor moveWithCells="1">
                  <from>
                    <xdr:col>9</xdr:col>
                    <xdr:colOff>628650</xdr:colOff>
                    <xdr:row>24</xdr:row>
                    <xdr:rowOff>180975</xdr:rowOff>
                  </from>
                  <to>
                    <xdr:col>10</xdr:col>
                    <xdr:colOff>552450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9" r:id="rId87" name="Check Box 115">
              <controlPr defaultSize="0" autoFill="0" autoLine="0" autoPict="0">
                <anchor moveWithCells="1">
                  <from>
                    <xdr:col>9</xdr:col>
                    <xdr:colOff>628650</xdr:colOff>
                    <xdr:row>25</xdr:row>
                    <xdr:rowOff>180975</xdr:rowOff>
                  </from>
                  <to>
                    <xdr:col>10</xdr:col>
                    <xdr:colOff>552450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0" r:id="rId88" name="Check Box 116">
              <controlPr defaultSize="0" autoFill="0" autoLine="0" autoPict="0">
                <anchor moveWithCells="1">
                  <from>
                    <xdr:col>9</xdr:col>
                    <xdr:colOff>628650</xdr:colOff>
                    <xdr:row>26</xdr:row>
                    <xdr:rowOff>180975</xdr:rowOff>
                  </from>
                  <to>
                    <xdr:col>10</xdr:col>
                    <xdr:colOff>552450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1" r:id="rId89" name="Check Box 117">
              <controlPr defaultSize="0" autoFill="0" autoLine="0" autoPict="0">
                <anchor moveWithCells="1">
                  <from>
                    <xdr:col>9</xdr:col>
                    <xdr:colOff>628650</xdr:colOff>
                    <xdr:row>27</xdr:row>
                    <xdr:rowOff>180975</xdr:rowOff>
                  </from>
                  <to>
                    <xdr:col>10</xdr:col>
                    <xdr:colOff>552450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2" r:id="rId90" name="Check Box 118">
              <controlPr defaultSize="0" autoFill="0" autoLine="0" autoPict="0">
                <anchor moveWithCells="1">
                  <from>
                    <xdr:col>9</xdr:col>
                    <xdr:colOff>628650</xdr:colOff>
                    <xdr:row>28</xdr:row>
                    <xdr:rowOff>180975</xdr:rowOff>
                  </from>
                  <to>
                    <xdr:col>10</xdr:col>
                    <xdr:colOff>552450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3" r:id="rId91" name="Check Box 119">
              <controlPr defaultSize="0" autoFill="0" autoLine="0" autoPict="0">
                <anchor moveWithCells="1">
                  <from>
                    <xdr:col>9</xdr:col>
                    <xdr:colOff>628650</xdr:colOff>
                    <xdr:row>29</xdr:row>
                    <xdr:rowOff>180975</xdr:rowOff>
                  </from>
                  <to>
                    <xdr:col>10</xdr:col>
                    <xdr:colOff>552450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4" r:id="rId92" name="Check Box 120">
              <controlPr defaultSize="0" autoFill="0" autoLine="0" autoPict="0">
                <anchor moveWithCells="1">
                  <from>
                    <xdr:col>9</xdr:col>
                    <xdr:colOff>628650</xdr:colOff>
                    <xdr:row>30</xdr:row>
                    <xdr:rowOff>180975</xdr:rowOff>
                  </from>
                  <to>
                    <xdr:col>10</xdr:col>
                    <xdr:colOff>552450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5" r:id="rId93" name="Check Box 121">
              <controlPr defaultSize="0" autoFill="0" autoLine="0" autoPict="0">
                <anchor moveWithCells="1">
                  <from>
                    <xdr:col>9</xdr:col>
                    <xdr:colOff>628650</xdr:colOff>
                    <xdr:row>31</xdr:row>
                    <xdr:rowOff>180975</xdr:rowOff>
                  </from>
                  <to>
                    <xdr:col>10</xdr:col>
                    <xdr:colOff>552450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6" r:id="rId94" name="Check Box 122">
              <controlPr defaultSize="0" autoFill="0" autoLine="0" autoPict="0">
                <anchor moveWithCells="1">
                  <from>
                    <xdr:col>9</xdr:col>
                    <xdr:colOff>628650</xdr:colOff>
                    <xdr:row>32</xdr:row>
                    <xdr:rowOff>180975</xdr:rowOff>
                  </from>
                  <to>
                    <xdr:col>10</xdr:col>
                    <xdr:colOff>552450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7" r:id="rId95" name="Check Box 123">
              <controlPr defaultSize="0" autoFill="0" autoLine="0" autoPict="0">
                <anchor moveWithCells="1">
                  <from>
                    <xdr:col>9</xdr:col>
                    <xdr:colOff>628650</xdr:colOff>
                    <xdr:row>33</xdr:row>
                    <xdr:rowOff>180975</xdr:rowOff>
                  </from>
                  <to>
                    <xdr:col>10</xdr:col>
                    <xdr:colOff>552450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8" r:id="rId96" name="Button 124">
              <controlPr defaultSize="0" print="0" autoFill="0" autoPict="0" macro="[0]!Button124_Click">
                <anchor moveWithCells="1" sizeWithCells="1">
                  <from>
                    <xdr:col>10</xdr:col>
                    <xdr:colOff>514350</xdr:colOff>
                    <xdr:row>0</xdr:row>
                    <xdr:rowOff>104775</xdr:rowOff>
                  </from>
                  <to>
                    <xdr:col>11</xdr:col>
                    <xdr:colOff>390525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P55"/>
  <sheetViews>
    <sheetView workbookViewId="0">
      <selection activeCell="L40" sqref="L40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8" width="14.5703125" customWidth="1"/>
    <col min="9" max="9" width="21.140625" customWidth="1"/>
    <col min="10" max="10" width="33.85546875" customWidth="1"/>
    <col min="11" max="11" width="16.85546875" customWidth="1"/>
    <col min="12" max="12" width="14.42578125" customWidth="1"/>
  </cols>
  <sheetData>
    <row r="1" spans="2:16" ht="23.25">
      <c r="B1" s="87" t="s">
        <v>278</v>
      </c>
    </row>
    <row r="4" spans="2:16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227</v>
      </c>
      <c r="I4" s="32" t="s">
        <v>228</v>
      </c>
      <c r="J4" s="32" t="s">
        <v>229</v>
      </c>
      <c r="K4" s="32" t="s">
        <v>230</v>
      </c>
      <c r="L4" s="32" t="s">
        <v>6</v>
      </c>
    </row>
    <row r="5" spans="2:16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OFFSET(Members!I80,Members!$L$1,0)</f>
        <v>15</v>
      </c>
      <c r="G5" s="79">
        <f ca="1">OFFSET(Members!I41,Members!$L$1,0)</f>
        <v>20</v>
      </c>
      <c r="L5" s="89">
        <f ca="1">SUM(M5*'Price of Tickets'!$I$28,N5*'Price of Tickets'!$I$29,O5*'Price of Tickets'!$I$30,P5*'Price of Tickets'!$I$31+F5+G5)</f>
        <v>140.5</v>
      </c>
      <c r="M5" s="94" t="b">
        <v>1</v>
      </c>
      <c r="N5" s="94" t="b">
        <v>1</v>
      </c>
      <c r="O5" s="94" t="b">
        <v>1</v>
      </c>
      <c r="P5" s="94" t="b">
        <v>1</v>
      </c>
    </row>
    <row r="6" spans="2:16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OFFSET(Members!I81,Members!$L$1,0)</f>
        <v>5</v>
      </c>
      <c r="G6" s="79">
        <f ca="1">OFFSET(Members!I42,Members!$L$1,0)</f>
        <v>7.4</v>
      </c>
      <c r="L6" s="89">
        <f ca="1">SUM(M6*'Price of Tickets'!$I$121,N6*'Price of Tickets'!$I$122,O6*'Price of Tickets'!$I$123,P6*'Price of Tickets'!$I$124+F6+G6)</f>
        <v>65.150000000000006</v>
      </c>
      <c r="M6" s="94" t="b">
        <v>1</v>
      </c>
      <c r="N6" s="94" t="b">
        <v>1</v>
      </c>
      <c r="O6" s="94" t="b">
        <v>1</v>
      </c>
      <c r="P6" s="94" t="b">
        <v>1</v>
      </c>
    </row>
    <row r="7" spans="2:16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OFFSET(Members!I82,Members!$L$1,0)</f>
        <v>15</v>
      </c>
      <c r="G7" s="79">
        <f ca="1">OFFSET(Members!I43,Members!$L$1,0)</f>
        <v>20</v>
      </c>
      <c r="L7" s="89">
        <f ca="1">SUM(M7*'Price of Tickets'!$I$28,N7*'Price of Tickets'!$I$29,O7*'Price of Tickets'!$I$30,P7*'Price of Tickets'!$I$31+F7+G7)</f>
        <v>140.5</v>
      </c>
      <c r="M7" s="94" t="b">
        <v>1</v>
      </c>
      <c r="N7" s="94" t="b">
        <v>1</v>
      </c>
      <c r="O7" s="94" t="b">
        <v>1</v>
      </c>
      <c r="P7" s="94" t="b">
        <v>1</v>
      </c>
    </row>
    <row r="8" spans="2:16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OFFSET(Members!I83,Members!$L$1,0)</f>
        <v>7.5</v>
      </c>
      <c r="G8" s="79">
        <f ca="1">OFFSET(Members!I44,Members!$L$1,0)</f>
        <v>11</v>
      </c>
      <c r="L8" s="89">
        <f ca="1">SUM(M8*'Price of Tickets'!$H$84,N8*'Price of Tickets'!$H$85,O8*'Price of Tickets'!$H$86,P8*'Price of Tickets'!$H$87+F8+G8)</f>
        <v>105.53749999999999</v>
      </c>
      <c r="M8" s="94" t="b">
        <v>1</v>
      </c>
      <c r="N8" s="94" t="b">
        <v>1</v>
      </c>
      <c r="O8" s="94" t="b">
        <v>1</v>
      </c>
      <c r="P8" s="94" t="b">
        <v>1</v>
      </c>
    </row>
    <row r="9" spans="2:16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OFFSET(Members!I84,Members!$L$1,0)</f>
        <v>15</v>
      </c>
      <c r="G9" s="79">
        <f ca="1">OFFSET(Members!I45,Members!$L$1,0)</f>
        <v>20</v>
      </c>
      <c r="L9" s="89">
        <f ca="1">SUM(M9*'Price of Tickets'!$I$28,N9*'Price of Tickets'!$I$29,O9*'Price of Tickets'!$I$30,P9*'Price of Tickets'!$I$31+F9+G9)</f>
        <v>140.5</v>
      </c>
      <c r="M9" s="94" t="b">
        <v>1</v>
      </c>
      <c r="N9" s="94" t="b">
        <v>1</v>
      </c>
      <c r="O9" s="94" t="b">
        <v>1</v>
      </c>
      <c r="P9" s="94" t="b">
        <v>1</v>
      </c>
    </row>
    <row r="10" spans="2:16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OFFSET(Members!I85,Members!$L$1,0)</f>
        <v>5</v>
      </c>
      <c r="G10" s="79">
        <f ca="1">OFFSET(Members!I46,Members!$L$1,0)</f>
        <v>7.4</v>
      </c>
      <c r="L10" s="89">
        <f ca="1">SUM(M10*'Price of Tickets'!$I$121,N10*'Price of Tickets'!$I$122,O10*'Price of Tickets'!$I$123,P10*'Price of Tickets'!$I$124+F10+G10)</f>
        <v>65.150000000000006</v>
      </c>
      <c r="M10" s="94" t="b">
        <v>1</v>
      </c>
      <c r="N10" s="94" t="b">
        <v>1</v>
      </c>
      <c r="O10" s="94" t="b">
        <v>1</v>
      </c>
      <c r="P10" s="94" t="b">
        <v>1</v>
      </c>
    </row>
    <row r="11" spans="2:16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OFFSET(Members!I86,Members!$L$1,0)</f>
        <v>10</v>
      </c>
      <c r="G11" s="79">
        <f ca="1">OFFSET(Members!I47,Members!$L$1,0)</f>
        <v>14.5</v>
      </c>
      <c r="L11" s="89">
        <f ca="1">SUM(M11*'Price of Tickets'!$H$56,N11*'Price of Tickets'!$H$57,O11*'Price of Tickets'!$H$58,P11*'Price of Tickets'!$H$59+F11+G11)</f>
        <v>119.45</v>
      </c>
      <c r="M11" s="94" t="b">
        <v>1</v>
      </c>
      <c r="N11" s="94" t="b">
        <v>1</v>
      </c>
      <c r="O11" s="94" t="b">
        <v>1</v>
      </c>
      <c r="P11" s="94" t="b">
        <v>1</v>
      </c>
    </row>
    <row r="12" spans="2:16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OFFSET(Members!I87,Members!$L$1,0)</f>
        <v>10</v>
      </c>
      <c r="G12" s="79">
        <f ca="1">OFFSET(Members!I48,Members!$L$1,0)</f>
        <v>14.5</v>
      </c>
      <c r="L12" s="89">
        <f ca="1">SUM(M12*'Price of Tickets'!$H$56,N12*'Price of Tickets'!$H$57,O12*'Price of Tickets'!$H$58,P12*'Price of Tickets'!$H$59+F12+G12)</f>
        <v>119.45</v>
      </c>
      <c r="M12" s="94" t="b">
        <v>1</v>
      </c>
      <c r="N12" s="94" t="b">
        <v>1</v>
      </c>
      <c r="O12" s="94" t="b">
        <v>1</v>
      </c>
      <c r="P12" s="94" t="b">
        <v>1</v>
      </c>
    </row>
    <row r="13" spans="2:16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OFFSET(Members!I88,Members!$L$1,0)</f>
        <v>15</v>
      </c>
      <c r="G13" s="79">
        <f ca="1">OFFSET(Members!I49,Members!$L$1,0)</f>
        <v>20</v>
      </c>
      <c r="L13" s="89">
        <f ca="1">SUM(M13*'Price of Tickets'!$I$28,N13*'Price of Tickets'!$I$29,O13*'Price of Tickets'!$I$30,P13*'Price of Tickets'!$I$31+F13+G13)</f>
        <v>140.5</v>
      </c>
      <c r="M13" s="94" t="b">
        <v>1</v>
      </c>
      <c r="N13" s="94" t="b">
        <v>1</v>
      </c>
      <c r="O13" s="94" t="b">
        <v>1</v>
      </c>
      <c r="P13" s="94" t="b">
        <v>1</v>
      </c>
    </row>
    <row r="14" spans="2:16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OFFSET(Members!I89,Members!$L$1,0)</f>
        <v>15</v>
      </c>
      <c r="G14" s="79">
        <f ca="1">OFFSET(Members!I50,Members!$L$1,0)</f>
        <v>20</v>
      </c>
      <c r="L14" s="89">
        <f ca="1">SUM(M14*'Price of Tickets'!$I$28,N14*'Price of Tickets'!$I$29,O14*'Price of Tickets'!$I$30,P14*'Price of Tickets'!$I$31+F14+G14)</f>
        <v>140.5</v>
      </c>
      <c r="M14" s="94" t="b">
        <v>1</v>
      </c>
      <c r="N14" s="94" t="b">
        <v>1</v>
      </c>
      <c r="O14" s="94" t="b">
        <v>1</v>
      </c>
      <c r="P14" s="94" t="b">
        <v>1</v>
      </c>
    </row>
    <row r="15" spans="2:16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OFFSET(Members!I90,Members!$L$1,0)</f>
        <v>7.5</v>
      </c>
      <c r="G15" s="79">
        <f ca="1">OFFSET(Members!I51,Members!$L$1,0)</f>
        <v>11</v>
      </c>
      <c r="L15" s="89">
        <f ca="1">SUM(M15*'Price of Tickets'!$H$84,N15*'Price of Tickets'!$H$85,O15*'Price of Tickets'!$H$86,P15*'Price of Tickets'!$H$87+F15+G15)</f>
        <v>105.53749999999999</v>
      </c>
      <c r="M15" s="94" t="b">
        <v>1</v>
      </c>
      <c r="N15" s="94" t="b">
        <v>1</v>
      </c>
      <c r="O15" s="94" t="b">
        <v>1</v>
      </c>
      <c r="P15" s="94" t="b">
        <v>1</v>
      </c>
    </row>
    <row r="16" spans="2:16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OFFSET(Members!I91,Members!$L$1,0)</f>
        <v>15</v>
      </c>
      <c r="G16" s="79">
        <f ca="1">OFFSET(Members!I52,Members!$L$1,0)</f>
        <v>20</v>
      </c>
      <c r="L16" s="89">
        <f ca="1">SUM(M16*'Price of Tickets'!$I$28,N16*'Price of Tickets'!$I$29,O16*'Price of Tickets'!$I$30,P16*'Price of Tickets'!$I$31+F16+G16)</f>
        <v>140.5</v>
      </c>
      <c r="M16" s="94" t="b">
        <v>1</v>
      </c>
      <c r="N16" s="94" t="b">
        <v>1</v>
      </c>
      <c r="O16" s="94" t="b">
        <v>1</v>
      </c>
      <c r="P16" s="94" t="b">
        <v>1</v>
      </c>
    </row>
    <row r="17" spans="2:16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OFFSET(Members!I92,Members!$L$1,0)</f>
        <v>15</v>
      </c>
      <c r="G17" s="79">
        <f ca="1">OFFSET(Members!I53,Members!$L$1,0)</f>
        <v>20</v>
      </c>
      <c r="L17" s="89">
        <f ca="1">SUM(M17*'Price of Tickets'!$I$28,N17*'Price of Tickets'!$I$29,O17*'Price of Tickets'!$I$30,P17*'Price of Tickets'!$I$31+F17+G17)</f>
        <v>140.5</v>
      </c>
      <c r="M17" s="94" t="b">
        <v>1</v>
      </c>
      <c r="N17" s="94" t="b">
        <v>1</v>
      </c>
      <c r="O17" s="94" t="b">
        <v>1</v>
      </c>
      <c r="P17" s="94" t="b">
        <v>1</v>
      </c>
    </row>
    <row r="18" spans="2:16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OFFSET(Members!I93,Members!$L$1,0)</f>
        <v>15</v>
      </c>
      <c r="G18" s="79">
        <f ca="1">OFFSET(Members!I54,Members!$L$1,0)</f>
        <v>20</v>
      </c>
      <c r="L18" s="89">
        <f ca="1">SUM(M18*'Price of Tickets'!$I$28,N18*'Price of Tickets'!$I$29,O18*'Price of Tickets'!$I$30,P18*'Price of Tickets'!$I$31+F18+G18)</f>
        <v>140.5</v>
      </c>
      <c r="M18" s="94" t="b">
        <v>1</v>
      </c>
      <c r="N18" s="94" t="b">
        <v>1</v>
      </c>
      <c r="O18" s="94" t="b">
        <v>1</v>
      </c>
      <c r="P18" s="94" t="b">
        <v>1</v>
      </c>
    </row>
    <row r="19" spans="2:16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OFFSET(Members!I94,Members!$L$1,0)</f>
        <v>15</v>
      </c>
      <c r="G19" s="79">
        <f ca="1">OFFSET(Members!I55,Members!$L$1,0)</f>
        <v>20</v>
      </c>
      <c r="L19" s="89">
        <f ca="1">SUM(M19*'Price of Tickets'!$I$28,N19*'Price of Tickets'!$I$29,O19*'Price of Tickets'!$I$30,P19*'Price of Tickets'!$I$31+F19+G19)</f>
        <v>140.5</v>
      </c>
      <c r="M19" s="94" t="b">
        <v>1</v>
      </c>
      <c r="N19" s="94" t="b">
        <v>1</v>
      </c>
      <c r="O19" s="94" t="b">
        <v>1</v>
      </c>
      <c r="P19" s="94" t="b">
        <v>1</v>
      </c>
    </row>
    <row r="20" spans="2:16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OFFSET(Members!I95,Members!$L$1,0)</f>
        <v>7.5</v>
      </c>
      <c r="G20" s="79">
        <f ca="1">OFFSET(Members!I56,Members!$L$1,0)</f>
        <v>11</v>
      </c>
      <c r="L20" s="89">
        <f ca="1">SUM(M20*'Price of Tickets'!$H$84,N20*'Price of Tickets'!$H$85,O20*'Price of Tickets'!$H$86,P20*'Price of Tickets'!$H$87+F20+G20)</f>
        <v>105.53749999999999</v>
      </c>
      <c r="M20" s="94" t="b">
        <v>1</v>
      </c>
      <c r="N20" s="94" t="b">
        <v>1</v>
      </c>
      <c r="O20" s="94" t="b">
        <v>1</v>
      </c>
      <c r="P20" s="94" t="b">
        <v>1</v>
      </c>
    </row>
    <row r="21" spans="2:16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OFFSET(Members!I96,Members!$L$1,0)</f>
        <v>15</v>
      </c>
      <c r="G21" s="79">
        <f ca="1">OFFSET(Members!I57,Members!$L$1,0)</f>
        <v>20</v>
      </c>
      <c r="L21" s="89">
        <f ca="1">SUM(M21*'Price of Tickets'!$I$28,N21*'Price of Tickets'!$I$29,O21*'Price of Tickets'!$I$30,P21*'Price of Tickets'!$I$31+F21+G21)</f>
        <v>140.5</v>
      </c>
      <c r="M21" s="94" t="b">
        <v>1</v>
      </c>
      <c r="N21" s="94" t="b">
        <v>1</v>
      </c>
      <c r="O21" s="94" t="b">
        <v>1</v>
      </c>
      <c r="P21" s="94" t="b">
        <v>1</v>
      </c>
    </row>
    <row r="22" spans="2:16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OFFSET(Members!I97,Members!$L$1,0)</f>
        <v>7.5</v>
      </c>
      <c r="G22" s="79">
        <f ca="1">OFFSET(Members!I58,Members!$L$1,0)</f>
        <v>11</v>
      </c>
      <c r="L22" s="89">
        <f ca="1">SUM(M22*'Price of Tickets'!$H$84,N22*'Price of Tickets'!$H$85,O22*'Price of Tickets'!$H$86,P22*'Price of Tickets'!$H$87+F22+G22)</f>
        <v>105.53749999999999</v>
      </c>
      <c r="M22" s="94" t="b">
        <v>1</v>
      </c>
      <c r="N22" s="94" t="b">
        <v>1</v>
      </c>
      <c r="O22" s="94" t="b">
        <v>1</v>
      </c>
      <c r="P22" s="94" t="b">
        <v>1</v>
      </c>
    </row>
    <row r="23" spans="2:16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OFFSET(Members!I98,Members!$L$1,0)</f>
        <v>15</v>
      </c>
      <c r="G23" s="79">
        <f ca="1">OFFSET(Members!I59,Members!$L$1,0)</f>
        <v>20</v>
      </c>
      <c r="L23" s="89">
        <f ca="1">SUM(M23*'Price of Tickets'!$I$28,N23*'Price of Tickets'!$I$29,O23*'Price of Tickets'!$I$30,P23*'Price of Tickets'!$I$31+F23+G23)</f>
        <v>140.5</v>
      </c>
      <c r="M23" s="94" t="b">
        <v>1</v>
      </c>
      <c r="N23" s="94" t="b">
        <v>1</v>
      </c>
      <c r="O23" s="94" t="b">
        <v>1</v>
      </c>
      <c r="P23" s="94" t="b">
        <v>1</v>
      </c>
    </row>
    <row r="24" spans="2:16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OFFSET(Members!I99,Members!$L$1,0)</f>
        <v>10</v>
      </c>
      <c r="G24" s="79">
        <f ca="1">OFFSET(Members!I60,Members!$L$1,0)</f>
        <v>14.5</v>
      </c>
      <c r="L24" s="89">
        <f ca="1">SUM(M24*'Price of Tickets'!$H$56,N24*'Price of Tickets'!$H$57,O24*'Price of Tickets'!$H$58,P24*'Price of Tickets'!$H$59+F24+G24)</f>
        <v>119.45</v>
      </c>
      <c r="M24" s="94" t="b">
        <v>1</v>
      </c>
      <c r="N24" s="94" t="b">
        <v>1</v>
      </c>
      <c r="O24" s="94" t="b">
        <v>1</v>
      </c>
      <c r="P24" s="94" t="b">
        <v>1</v>
      </c>
    </row>
    <row r="25" spans="2:16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OFFSET(Members!I100,Members!$L$1,0)</f>
        <v>10</v>
      </c>
      <c r="G25" s="79">
        <f ca="1">OFFSET(Members!I61,Members!$L$1,0)</f>
        <v>14.5</v>
      </c>
      <c r="L25" s="89">
        <f ca="1">SUM(M25*'Price of Tickets'!$H$56,N25*'Price of Tickets'!$H$57,O25*'Price of Tickets'!$H$58,P25*'Price of Tickets'!$H$59+F25+G25)</f>
        <v>119.45</v>
      </c>
      <c r="M25" s="94" t="b">
        <v>1</v>
      </c>
      <c r="N25" s="94" t="b">
        <v>1</v>
      </c>
      <c r="O25" s="94" t="b">
        <v>1</v>
      </c>
      <c r="P25" s="94" t="b">
        <v>1</v>
      </c>
    </row>
    <row r="26" spans="2:16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OFFSET(Members!I101,Members!$L$1,0)</f>
        <v>15</v>
      </c>
      <c r="G26" s="79">
        <f ca="1">OFFSET(Members!I62,Members!$L$1,0)</f>
        <v>20</v>
      </c>
      <c r="L26" s="89">
        <f ca="1">SUM(M26*'Price of Tickets'!$I$28,N26*'Price of Tickets'!$I$29,O26*'Price of Tickets'!$I$30,P26*'Price of Tickets'!$I$31+F26+G26)</f>
        <v>140.5</v>
      </c>
      <c r="M26" s="94" t="b">
        <v>1</v>
      </c>
      <c r="N26" s="94" t="b">
        <v>1</v>
      </c>
      <c r="O26" s="94" t="b">
        <v>1</v>
      </c>
      <c r="P26" s="94" t="b">
        <v>1</v>
      </c>
    </row>
    <row r="27" spans="2:16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OFFSET(Members!I102,Members!$L$1,0)</f>
        <v>15</v>
      </c>
      <c r="G27" s="79">
        <f ca="1">OFFSET(Members!I63,Members!$L$1,0)</f>
        <v>20</v>
      </c>
      <c r="L27" s="89">
        <f ca="1">SUM(M27*'Price of Tickets'!$I$28,N27*'Price of Tickets'!$I$29,O27*'Price of Tickets'!$I$30,P27*'Price of Tickets'!$I$31+F27+G27)</f>
        <v>140.5</v>
      </c>
      <c r="M27" s="94" t="b">
        <v>1</v>
      </c>
      <c r="N27" s="94" t="b">
        <v>1</v>
      </c>
      <c r="O27" s="94" t="b">
        <v>1</v>
      </c>
      <c r="P27" s="94" t="b">
        <v>1</v>
      </c>
    </row>
    <row r="28" spans="2:16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OFFSET(Members!I103,Members!$L$1,0)</f>
        <v>10</v>
      </c>
      <c r="G28" s="79">
        <f ca="1">OFFSET(Members!I64,Members!$L$1,0)</f>
        <v>14.5</v>
      </c>
      <c r="L28" s="89">
        <f ca="1">SUM(M28*'Price of Tickets'!$H$56,N28*'Price of Tickets'!$H$57,O28*'Price of Tickets'!$H$58,P28*'Price of Tickets'!$H$59+F28+G28)</f>
        <v>119.45</v>
      </c>
      <c r="M28" s="94" t="b">
        <v>1</v>
      </c>
      <c r="N28" s="94" t="b">
        <v>1</v>
      </c>
      <c r="O28" s="94" t="b">
        <v>1</v>
      </c>
      <c r="P28" s="94" t="b">
        <v>1</v>
      </c>
    </row>
    <row r="29" spans="2:16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OFFSET(Members!I104,Members!$L$1,0)</f>
        <v>10</v>
      </c>
      <c r="G29" s="79">
        <f ca="1">OFFSET(Members!I65,Members!$L$1,0)</f>
        <v>14.5</v>
      </c>
      <c r="L29" s="89">
        <f ca="1">SUM(M29*'Price of Tickets'!$H$56,N29*'Price of Tickets'!$H$57,O29*'Price of Tickets'!$H$58,P29*'Price of Tickets'!$H$59+F29+G29)</f>
        <v>119.45</v>
      </c>
      <c r="M29" s="94" t="b">
        <v>1</v>
      </c>
      <c r="N29" s="94" t="b">
        <v>1</v>
      </c>
      <c r="O29" s="94" t="b">
        <v>1</v>
      </c>
      <c r="P29" s="94" t="b">
        <v>1</v>
      </c>
    </row>
    <row r="30" spans="2:16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OFFSET(Members!I105,Members!$L$1,0)</f>
        <v>15</v>
      </c>
      <c r="G30" s="79">
        <f ca="1">OFFSET(Members!I66,Members!$L$1,0)</f>
        <v>20</v>
      </c>
      <c r="L30" s="89">
        <f ca="1">SUM(M30*'Price of Tickets'!$I$28,N30*'Price of Tickets'!$I$29,O30*'Price of Tickets'!$I$30,P30*'Price of Tickets'!$I$31+F30+G30)</f>
        <v>140.5</v>
      </c>
      <c r="M30" s="94" t="b">
        <v>1</v>
      </c>
      <c r="N30" s="94" t="b">
        <v>1</v>
      </c>
      <c r="O30" s="94" t="b">
        <v>1</v>
      </c>
      <c r="P30" s="94" t="b">
        <v>1</v>
      </c>
    </row>
    <row r="31" spans="2:16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OFFSET(Members!I106,Members!$L$1,0)</f>
        <v>15</v>
      </c>
      <c r="G31" s="79">
        <f ca="1">OFFSET(Members!I67,Members!$L$1,0)</f>
        <v>20</v>
      </c>
      <c r="L31" s="89">
        <f ca="1">SUM(M31*'Price of Tickets'!$I$28,N31*'Price of Tickets'!$I$29,O31*'Price of Tickets'!$I$30,P31*'Price of Tickets'!$I$31+F31+G31)</f>
        <v>140.5</v>
      </c>
      <c r="M31" s="94" t="b">
        <v>1</v>
      </c>
      <c r="N31" s="94" t="b">
        <v>1</v>
      </c>
      <c r="O31" s="94" t="b">
        <v>1</v>
      </c>
      <c r="P31" s="94" t="b">
        <v>1</v>
      </c>
    </row>
    <row r="32" spans="2:16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OFFSET(Members!I107,Members!$L$1,0)</f>
        <v>15</v>
      </c>
      <c r="G32" s="79">
        <f ca="1">OFFSET(Members!I68,Members!$L$1,0)</f>
        <v>20</v>
      </c>
      <c r="L32" s="89">
        <f ca="1">SUM(M32*'Price of Tickets'!$I$28,N32*'Price of Tickets'!$I$29,O32*'Price of Tickets'!$I$30,P32*'Price of Tickets'!$I$31+F32+G32)</f>
        <v>140.5</v>
      </c>
      <c r="M32" s="94" t="b">
        <v>1</v>
      </c>
      <c r="N32" s="94" t="b">
        <v>1</v>
      </c>
      <c r="O32" s="94" t="b">
        <v>1</v>
      </c>
      <c r="P32" s="94" t="b">
        <v>1</v>
      </c>
    </row>
    <row r="33" spans="2:16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OFFSET(Members!I108,Members!$L$1,0)</f>
        <v>7.5</v>
      </c>
      <c r="G33" s="79">
        <f ca="1">OFFSET(Members!I69,Members!$L$1,0)</f>
        <v>11</v>
      </c>
      <c r="L33" s="89">
        <f ca="1">SUM(M33*'Price of Tickets'!$H$84,N33*'Price of Tickets'!$H$85,O33*'Price of Tickets'!$H$86,P33*'Price of Tickets'!$H$87+F33+G33)</f>
        <v>105.53749999999999</v>
      </c>
      <c r="M33" s="94" t="b">
        <v>1</v>
      </c>
      <c r="N33" s="94" t="b">
        <v>1</v>
      </c>
      <c r="O33" s="94" t="b">
        <v>1</v>
      </c>
      <c r="P33" s="94" t="b">
        <v>1</v>
      </c>
    </row>
    <row r="34" spans="2:16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OFFSET(Members!I109,Members!$L$1,0)</f>
        <v>7.5</v>
      </c>
      <c r="G34" s="79">
        <f ca="1">OFFSET(Members!I70,Members!$L$1,0)</f>
        <v>11</v>
      </c>
      <c r="L34" s="89">
        <f ca="1">SUM(M34*'Price of Tickets'!$H$84,N34*'Price of Tickets'!$H$85,O34*'Price of Tickets'!$H$86,P34*'Price of Tickets'!$H$87+F34+G34)</f>
        <v>105.53749999999999</v>
      </c>
      <c r="M34" s="94" t="b">
        <v>1</v>
      </c>
      <c r="N34" s="94" t="b">
        <v>1</v>
      </c>
      <c r="O34" s="94" t="b">
        <v>1</v>
      </c>
      <c r="P34" s="94" t="b">
        <v>1</v>
      </c>
    </row>
    <row r="35" spans="2:16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OFFSET(Members!I110,Members!$L$1,0)</f>
        <v>15</v>
      </c>
      <c r="G35" s="79">
        <f ca="1">OFFSET(Members!I71,Members!$L$1,0)</f>
        <v>20</v>
      </c>
      <c r="L35" s="89">
        <f ca="1">SUM(M35*'Price of Tickets'!$I$28,N35*'Price of Tickets'!$I$29,O35*'Price of Tickets'!$I$30,P35*'Price of Tickets'!$I$31+F35+G35)</f>
        <v>140.5</v>
      </c>
      <c r="M35" s="94" t="b">
        <v>1</v>
      </c>
      <c r="N35" s="94" t="b">
        <v>1</v>
      </c>
      <c r="O35" s="94" t="b">
        <v>1</v>
      </c>
      <c r="P35" s="94" t="b">
        <v>1</v>
      </c>
    </row>
    <row r="37" spans="2:16" ht="21">
      <c r="J37" s="102" t="s">
        <v>211</v>
      </c>
      <c r="L37" s="165">
        <f ca="1">SUM(L5:L35)</f>
        <v>3868.724999999999</v>
      </c>
    </row>
    <row r="42" spans="2:16" ht="15.75" thickBot="1"/>
    <row r="43" spans="2:16" ht="16.5" thickTop="1" thickBot="1">
      <c r="B43" s="100" t="s">
        <v>284</v>
      </c>
      <c r="C43" s="99"/>
      <c r="D43" s="96" t="s">
        <v>285</v>
      </c>
      <c r="E43" s="97"/>
    </row>
    <row r="44" spans="2:16" ht="16.5" thickTop="1" thickBot="1">
      <c r="D44" s="96" t="s">
        <v>294</v>
      </c>
      <c r="E44" s="98"/>
    </row>
    <row r="45" spans="2:16" ht="16.5" thickTop="1" thickBot="1">
      <c r="D45" s="96" t="s">
        <v>288</v>
      </c>
      <c r="E45" s="97" t="s">
        <v>301</v>
      </c>
    </row>
    <row r="46" spans="2:16" ht="16.5" thickTop="1" thickBot="1">
      <c r="D46" s="96" t="s">
        <v>289</v>
      </c>
      <c r="E46" s="98" t="s">
        <v>301</v>
      </c>
    </row>
    <row r="47" spans="2:16" ht="16.5" thickTop="1" thickBot="1">
      <c r="D47" s="96" t="s">
        <v>290</v>
      </c>
      <c r="E47" s="98" t="s">
        <v>301</v>
      </c>
    </row>
    <row r="48" spans="2:16" ht="16.5" thickTop="1" thickBot="1">
      <c r="D48" s="96" t="s">
        <v>291</v>
      </c>
      <c r="E48" s="97"/>
    </row>
    <row r="49" spans="4:5" ht="16.5" thickTop="1" thickBot="1">
      <c r="D49" s="96" t="s">
        <v>295</v>
      </c>
      <c r="E49" s="97"/>
    </row>
    <row r="50" spans="4:5" ht="16.5" thickTop="1" thickBot="1">
      <c r="D50" s="96" t="s">
        <v>296</v>
      </c>
      <c r="E50" s="98"/>
    </row>
    <row r="51" spans="4:5" ht="16.5" thickTop="1" thickBot="1">
      <c r="D51" s="96" t="s">
        <v>297</v>
      </c>
      <c r="E51" s="98"/>
    </row>
    <row r="52" spans="4:5" ht="16.5" thickTop="1" thickBot="1">
      <c r="D52" s="96" t="s">
        <v>298</v>
      </c>
      <c r="E52" s="98" t="s">
        <v>301</v>
      </c>
    </row>
    <row r="53" spans="4:5" ht="16.5" thickTop="1" thickBot="1">
      <c r="D53" s="96" t="s">
        <v>299</v>
      </c>
      <c r="E53" s="97"/>
    </row>
    <row r="54" spans="4:5" ht="16.5" thickTop="1" thickBot="1">
      <c r="D54" s="96" t="s">
        <v>300</v>
      </c>
      <c r="E54" s="98" t="s">
        <v>301</v>
      </c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Check Box 1">
              <controlPr defaultSize="0" autoFill="0" autoLine="0" autoPict="0">
                <anchor moveWithCells="1">
                  <from>
                    <xdr:col>7</xdr:col>
                    <xdr:colOff>381000</xdr:colOff>
                    <xdr:row>6</xdr:row>
                    <xdr:rowOff>171450</xdr:rowOff>
                  </from>
                  <to>
                    <xdr:col>7</xdr:col>
                    <xdr:colOff>771525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Check Box 2">
              <controlPr defaultSize="0" autoFill="0" autoLine="0" autoPict="0">
                <anchor moveWithCells="1">
                  <from>
                    <xdr:col>7</xdr:col>
                    <xdr:colOff>381000</xdr:colOff>
                    <xdr:row>8</xdr:row>
                    <xdr:rowOff>19050</xdr:rowOff>
                  </from>
                  <to>
                    <xdr:col>7</xdr:col>
                    <xdr:colOff>695325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Check Box 3">
              <controlPr defaultSize="0" autoFill="0" autoLine="0" autoPict="0">
                <anchor moveWithCells="1">
                  <from>
                    <xdr:col>7</xdr:col>
                    <xdr:colOff>381000</xdr:colOff>
                    <xdr:row>9</xdr:row>
                    <xdr:rowOff>19050</xdr:rowOff>
                  </from>
                  <to>
                    <xdr:col>7</xdr:col>
                    <xdr:colOff>695325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Check Box 4">
              <controlPr defaultSize="0" autoFill="0" autoLine="0" autoPict="0">
                <anchor moveWithCells="1">
                  <from>
                    <xdr:col>7</xdr:col>
                    <xdr:colOff>381000</xdr:colOff>
                    <xdr:row>9</xdr:row>
                    <xdr:rowOff>180975</xdr:rowOff>
                  </from>
                  <to>
                    <xdr:col>7</xdr:col>
                    <xdr:colOff>695325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Check Box 5">
              <controlPr defaultSize="0" autoFill="0" autoLine="0" autoPict="0">
                <anchor moveWithCells="1">
                  <from>
                    <xdr:col>7</xdr:col>
                    <xdr:colOff>381000</xdr:colOff>
                    <xdr:row>10</xdr:row>
                    <xdr:rowOff>161925</xdr:rowOff>
                  </from>
                  <to>
                    <xdr:col>7</xdr:col>
                    <xdr:colOff>714375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Check Box 6">
              <controlPr defaultSize="0" autoFill="0" autoLine="0" autoPict="0">
                <anchor moveWithCells="1">
                  <from>
                    <xdr:col>7</xdr:col>
                    <xdr:colOff>381000</xdr:colOff>
                    <xdr:row>12</xdr:row>
                    <xdr:rowOff>0</xdr:rowOff>
                  </from>
                  <to>
                    <xdr:col>7</xdr:col>
                    <xdr:colOff>723900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Check Box 7">
              <controlPr defaultSize="0" autoFill="0" autoLine="0" autoPict="0">
                <anchor moveWithCells="1">
                  <from>
                    <xdr:col>7</xdr:col>
                    <xdr:colOff>381000</xdr:colOff>
                    <xdr:row>13</xdr:row>
                    <xdr:rowOff>0</xdr:rowOff>
                  </from>
                  <to>
                    <xdr:col>7</xdr:col>
                    <xdr:colOff>685800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0" name="Check Box 8">
              <controlPr defaultSize="0" autoFill="0" autoLine="0" autoPict="0">
                <anchor moveWithCells="1">
                  <from>
                    <xdr:col>7</xdr:col>
                    <xdr:colOff>381000</xdr:colOff>
                    <xdr:row>13</xdr:row>
                    <xdr:rowOff>180975</xdr:rowOff>
                  </from>
                  <to>
                    <xdr:col>7</xdr:col>
                    <xdr:colOff>695325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1" name="Check Box 9">
              <controlPr defaultSize="0" autoFill="0" autoLine="0" autoPict="0">
                <anchor moveWithCells="1">
                  <from>
                    <xdr:col>7</xdr:col>
                    <xdr:colOff>381000</xdr:colOff>
                    <xdr:row>14</xdr:row>
                    <xdr:rowOff>171450</xdr:rowOff>
                  </from>
                  <to>
                    <xdr:col>8</xdr:col>
                    <xdr:colOff>762000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2" name="Check Box 10">
              <controlPr defaultSize="0" autoFill="0" autoLine="0" autoPict="0">
                <anchor moveWithCells="1">
                  <from>
                    <xdr:col>7</xdr:col>
                    <xdr:colOff>381000</xdr:colOff>
                    <xdr:row>16</xdr:row>
                    <xdr:rowOff>0</xdr:rowOff>
                  </from>
                  <to>
                    <xdr:col>7</xdr:col>
                    <xdr:colOff>714375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3" name="Check Box 11">
              <controlPr defaultSize="0" autoFill="0" autoLine="0" autoPict="0">
                <anchor moveWithCells="1">
                  <from>
                    <xdr:col>7</xdr:col>
                    <xdr:colOff>381000</xdr:colOff>
                    <xdr:row>17</xdr:row>
                    <xdr:rowOff>0</xdr:rowOff>
                  </from>
                  <to>
                    <xdr:col>7</xdr:col>
                    <xdr:colOff>742950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4" name="Check Box 12">
              <controlPr defaultSize="0" autoFill="0" autoLine="0" autoPict="0">
                <anchor moveWithCells="1">
                  <from>
                    <xdr:col>7</xdr:col>
                    <xdr:colOff>381000</xdr:colOff>
                    <xdr:row>17</xdr:row>
                    <xdr:rowOff>180975</xdr:rowOff>
                  </from>
                  <to>
                    <xdr:col>7</xdr:col>
                    <xdr:colOff>714375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5" name="Check Box 13">
              <controlPr defaultSize="0" autoFill="0" autoLine="0" autoPict="0">
                <anchor moveWithCells="1">
                  <from>
                    <xdr:col>7</xdr:col>
                    <xdr:colOff>381000</xdr:colOff>
                    <xdr:row>19</xdr:row>
                    <xdr:rowOff>19050</xdr:rowOff>
                  </from>
                  <to>
                    <xdr:col>7</xdr:col>
                    <xdr:colOff>685800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6" name="Check Box 14">
              <controlPr defaultSize="0" autoFill="0" autoLine="0" autoPict="0">
                <anchor moveWithCells="1">
                  <from>
                    <xdr:col>7</xdr:col>
                    <xdr:colOff>381000</xdr:colOff>
                    <xdr:row>20</xdr:row>
                    <xdr:rowOff>0</xdr:rowOff>
                  </from>
                  <to>
                    <xdr:col>7</xdr:col>
                    <xdr:colOff>657225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7" name="Check Box 15">
              <controlPr defaultSize="0" autoFill="0" autoLine="0" autoPict="0">
                <anchor moveWithCells="1">
                  <from>
                    <xdr:col>7</xdr:col>
                    <xdr:colOff>381000</xdr:colOff>
                    <xdr:row>21</xdr:row>
                    <xdr:rowOff>9525</xdr:rowOff>
                  </from>
                  <to>
                    <xdr:col>7</xdr:col>
                    <xdr:colOff>685800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8" name="Check Box 16">
              <controlPr defaultSize="0" autoFill="0" autoLine="0" autoPict="0">
                <anchor moveWithCells="1">
                  <from>
                    <xdr:col>7</xdr:col>
                    <xdr:colOff>381000</xdr:colOff>
                    <xdr:row>22</xdr:row>
                    <xdr:rowOff>0</xdr:rowOff>
                  </from>
                  <to>
                    <xdr:col>7</xdr:col>
                    <xdr:colOff>714375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9" name="Check Box 17">
              <controlPr defaultSize="0" autoFill="0" autoLine="0" autoPict="0">
                <anchor moveWithCells="1">
                  <from>
                    <xdr:col>7</xdr:col>
                    <xdr:colOff>381000</xdr:colOff>
                    <xdr:row>23</xdr:row>
                    <xdr:rowOff>9525</xdr:rowOff>
                  </from>
                  <to>
                    <xdr:col>7</xdr:col>
                    <xdr:colOff>714375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0" name="Check Box 18">
              <controlPr defaultSize="0" autoFill="0" autoLine="0" autoPict="0">
                <anchor moveWithCells="1">
                  <from>
                    <xdr:col>7</xdr:col>
                    <xdr:colOff>381000</xdr:colOff>
                    <xdr:row>23</xdr:row>
                    <xdr:rowOff>180975</xdr:rowOff>
                  </from>
                  <to>
                    <xdr:col>7</xdr:col>
                    <xdr:colOff>714375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1" name="Check Box 19">
              <controlPr defaultSize="0" autoFill="0" autoLine="0" autoPict="0">
                <anchor moveWithCells="1">
                  <from>
                    <xdr:col>7</xdr:col>
                    <xdr:colOff>381000</xdr:colOff>
                    <xdr:row>24</xdr:row>
                    <xdr:rowOff>180975</xdr:rowOff>
                  </from>
                  <to>
                    <xdr:col>7</xdr:col>
                    <xdr:colOff>695325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2" name="Check Box 20">
              <controlPr defaultSize="0" autoFill="0" autoLine="0" autoPict="0">
                <anchor moveWithCells="1">
                  <from>
                    <xdr:col>7</xdr:col>
                    <xdr:colOff>381000</xdr:colOff>
                    <xdr:row>26</xdr:row>
                    <xdr:rowOff>0</xdr:rowOff>
                  </from>
                  <to>
                    <xdr:col>7</xdr:col>
                    <xdr:colOff>676275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3" name="Check Box 21">
              <controlPr defaultSize="0" autoFill="0" autoLine="0" autoPict="0">
                <anchor moveWithCells="1">
                  <from>
                    <xdr:col>7</xdr:col>
                    <xdr:colOff>381000</xdr:colOff>
                    <xdr:row>5</xdr:row>
                    <xdr:rowOff>171450</xdr:rowOff>
                  </from>
                  <to>
                    <xdr:col>7</xdr:col>
                    <xdr:colOff>809625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4" name="Check Box 22">
              <controlPr defaultSize="0" autoFill="0" autoLine="0" autoPict="0">
                <anchor moveWithCells="1">
                  <from>
                    <xdr:col>7</xdr:col>
                    <xdr:colOff>381000</xdr:colOff>
                    <xdr:row>4</xdr:row>
                    <xdr:rowOff>152400</xdr:rowOff>
                  </from>
                  <to>
                    <xdr:col>7</xdr:col>
                    <xdr:colOff>781050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5" name="Check Box 23">
              <controlPr defaultSize="0" autoFill="0" autoLine="0" autoPict="0">
                <anchor moveWithCells="1">
                  <from>
                    <xdr:col>9</xdr:col>
                    <xdr:colOff>1323975</xdr:colOff>
                    <xdr:row>6</xdr:row>
                    <xdr:rowOff>0</xdr:rowOff>
                  </from>
                  <to>
                    <xdr:col>9</xdr:col>
                    <xdr:colOff>1790700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6" name="Check Box 24">
              <controlPr defaultSize="0" autoFill="0" autoLine="0" autoPict="0">
                <anchor moveWithCells="1">
                  <from>
                    <xdr:col>9</xdr:col>
                    <xdr:colOff>1323975</xdr:colOff>
                    <xdr:row>7</xdr:row>
                    <xdr:rowOff>9525</xdr:rowOff>
                  </from>
                  <to>
                    <xdr:col>9</xdr:col>
                    <xdr:colOff>1790700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7" name="Check Box 25">
              <controlPr defaultSize="0" autoFill="0" autoLine="0" autoPict="0">
                <anchor moveWithCells="1">
                  <from>
                    <xdr:col>9</xdr:col>
                    <xdr:colOff>1323975</xdr:colOff>
                    <xdr:row>8</xdr:row>
                    <xdr:rowOff>0</xdr:rowOff>
                  </from>
                  <to>
                    <xdr:col>9</xdr:col>
                    <xdr:colOff>1790700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8" name="Check Box 26">
              <controlPr defaultSize="0" autoFill="0" autoLine="0" autoPict="0">
                <anchor moveWithCells="1">
                  <from>
                    <xdr:col>9</xdr:col>
                    <xdr:colOff>1323975</xdr:colOff>
                    <xdr:row>9</xdr:row>
                    <xdr:rowOff>19050</xdr:rowOff>
                  </from>
                  <to>
                    <xdr:col>9</xdr:col>
                    <xdr:colOff>1790700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29" name="Check Box 27">
              <controlPr defaultSize="0" autoFill="0" autoLine="0" autoPict="0">
                <anchor moveWithCells="1">
                  <from>
                    <xdr:col>9</xdr:col>
                    <xdr:colOff>1323975</xdr:colOff>
                    <xdr:row>11</xdr:row>
                    <xdr:rowOff>9525</xdr:rowOff>
                  </from>
                  <to>
                    <xdr:col>9</xdr:col>
                    <xdr:colOff>1790700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0" name="Check Box 28">
              <controlPr defaultSize="0" autoFill="0" autoLine="0" autoPict="0">
                <anchor moveWithCells="1">
                  <from>
                    <xdr:col>9</xdr:col>
                    <xdr:colOff>1323975</xdr:colOff>
                    <xdr:row>12</xdr:row>
                    <xdr:rowOff>9525</xdr:rowOff>
                  </from>
                  <to>
                    <xdr:col>9</xdr:col>
                    <xdr:colOff>1790700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1" name="Check Box 29">
              <controlPr defaultSize="0" autoFill="0" autoLine="0" autoPict="0">
                <anchor moveWithCells="1">
                  <from>
                    <xdr:col>9</xdr:col>
                    <xdr:colOff>1323975</xdr:colOff>
                    <xdr:row>13</xdr:row>
                    <xdr:rowOff>0</xdr:rowOff>
                  </from>
                  <to>
                    <xdr:col>9</xdr:col>
                    <xdr:colOff>1790700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2" name="Check Box 30">
              <controlPr defaultSize="0" autoFill="0" autoLine="0" autoPict="0">
                <anchor moveWithCells="1">
                  <from>
                    <xdr:col>9</xdr:col>
                    <xdr:colOff>1323975</xdr:colOff>
                    <xdr:row>14</xdr:row>
                    <xdr:rowOff>9525</xdr:rowOff>
                  </from>
                  <to>
                    <xdr:col>9</xdr:col>
                    <xdr:colOff>1790700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3" name="Check Box 31">
              <controlPr defaultSize="0" autoFill="0" autoLine="0" autoPict="0">
                <anchor moveWithCells="1">
                  <from>
                    <xdr:col>9</xdr:col>
                    <xdr:colOff>1323975</xdr:colOff>
                    <xdr:row>14</xdr:row>
                    <xdr:rowOff>180975</xdr:rowOff>
                  </from>
                  <to>
                    <xdr:col>9</xdr:col>
                    <xdr:colOff>1790700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4" name="Check Box 32">
              <controlPr defaultSize="0" autoFill="0" autoLine="0" autoPict="0">
                <anchor moveWithCells="1">
                  <from>
                    <xdr:col>9</xdr:col>
                    <xdr:colOff>1323975</xdr:colOff>
                    <xdr:row>15</xdr:row>
                    <xdr:rowOff>180975</xdr:rowOff>
                  </from>
                  <to>
                    <xdr:col>9</xdr:col>
                    <xdr:colOff>1790700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5" name="Check Box 33">
              <controlPr defaultSize="0" autoFill="0" autoLine="0" autoPict="0">
                <anchor moveWithCells="1">
                  <from>
                    <xdr:col>9</xdr:col>
                    <xdr:colOff>1323975</xdr:colOff>
                    <xdr:row>17</xdr:row>
                    <xdr:rowOff>19050</xdr:rowOff>
                  </from>
                  <to>
                    <xdr:col>9</xdr:col>
                    <xdr:colOff>1790700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6" name="Check Box 34">
              <controlPr defaultSize="0" autoFill="0" autoLine="0" autoPict="0">
                <anchor moveWithCells="1">
                  <from>
                    <xdr:col>9</xdr:col>
                    <xdr:colOff>1323975</xdr:colOff>
                    <xdr:row>18</xdr:row>
                    <xdr:rowOff>9525</xdr:rowOff>
                  </from>
                  <to>
                    <xdr:col>9</xdr:col>
                    <xdr:colOff>1790700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7" name="Check Box 35">
              <controlPr defaultSize="0" autoFill="0" autoLine="0" autoPict="0">
                <anchor moveWithCells="1">
                  <from>
                    <xdr:col>9</xdr:col>
                    <xdr:colOff>1323975</xdr:colOff>
                    <xdr:row>19</xdr:row>
                    <xdr:rowOff>0</xdr:rowOff>
                  </from>
                  <to>
                    <xdr:col>9</xdr:col>
                    <xdr:colOff>1790700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8" name="Check Box 36">
              <controlPr defaultSize="0" autoFill="0" autoLine="0" autoPict="0">
                <anchor moveWithCells="1">
                  <from>
                    <xdr:col>9</xdr:col>
                    <xdr:colOff>1323975</xdr:colOff>
                    <xdr:row>19</xdr:row>
                    <xdr:rowOff>180975</xdr:rowOff>
                  </from>
                  <to>
                    <xdr:col>9</xdr:col>
                    <xdr:colOff>1790700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39" name="Check Box 37">
              <controlPr defaultSize="0" autoFill="0" autoLine="0" autoPict="0">
                <anchor moveWithCells="1">
                  <from>
                    <xdr:col>9</xdr:col>
                    <xdr:colOff>1323975</xdr:colOff>
                    <xdr:row>21</xdr:row>
                    <xdr:rowOff>0</xdr:rowOff>
                  </from>
                  <to>
                    <xdr:col>9</xdr:col>
                    <xdr:colOff>1790700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0" name="Check Box 38">
              <controlPr defaultSize="0" autoFill="0" autoLine="0" autoPict="0">
                <anchor moveWithCells="1">
                  <from>
                    <xdr:col>9</xdr:col>
                    <xdr:colOff>1323975</xdr:colOff>
                    <xdr:row>21</xdr:row>
                    <xdr:rowOff>180975</xdr:rowOff>
                  </from>
                  <to>
                    <xdr:col>9</xdr:col>
                    <xdr:colOff>1790700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1" name="Check Box 39">
              <controlPr defaultSize="0" autoFill="0" autoLine="0" autoPict="0">
                <anchor moveWithCells="1">
                  <from>
                    <xdr:col>9</xdr:col>
                    <xdr:colOff>1323975</xdr:colOff>
                    <xdr:row>22</xdr:row>
                    <xdr:rowOff>180975</xdr:rowOff>
                  </from>
                  <to>
                    <xdr:col>9</xdr:col>
                    <xdr:colOff>1790700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2" name="Check Box 40">
              <controlPr defaultSize="0" autoFill="0" autoLine="0" autoPict="0">
                <anchor moveWithCells="1">
                  <from>
                    <xdr:col>9</xdr:col>
                    <xdr:colOff>1323975</xdr:colOff>
                    <xdr:row>23</xdr:row>
                    <xdr:rowOff>180975</xdr:rowOff>
                  </from>
                  <to>
                    <xdr:col>9</xdr:col>
                    <xdr:colOff>1790700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3" name="Check Box 41">
              <controlPr defaultSize="0" autoFill="0" autoLine="0" autoPict="0">
                <anchor moveWithCells="1">
                  <from>
                    <xdr:col>9</xdr:col>
                    <xdr:colOff>1323975</xdr:colOff>
                    <xdr:row>25</xdr:row>
                    <xdr:rowOff>19050</xdr:rowOff>
                  </from>
                  <to>
                    <xdr:col>9</xdr:col>
                    <xdr:colOff>1790700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4" name="Check Box 42">
              <controlPr defaultSize="0" autoFill="0" autoLine="0" autoPict="0">
                <anchor moveWithCells="1">
                  <from>
                    <xdr:col>9</xdr:col>
                    <xdr:colOff>1323975</xdr:colOff>
                    <xdr:row>26</xdr:row>
                    <xdr:rowOff>28575</xdr:rowOff>
                  </from>
                  <to>
                    <xdr:col>9</xdr:col>
                    <xdr:colOff>1790700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5" name="Check Box 43">
              <controlPr defaultSize="0" autoFill="0" autoLine="0" autoPict="0">
                <anchor moveWithCells="1">
                  <from>
                    <xdr:col>9</xdr:col>
                    <xdr:colOff>1323975</xdr:colOff>
                    <xdr:row>5</xdr:row>
                    <xdr:rowOff>0</xdr:rowOff>
                  </from>
                  <to>
                    <xdr:col>9</xdr:col>
                    <xdr:colOff>1838325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6" name="Check Box 44">
              <controlPr defaultSize="0" autoFill="0" autoLine="0" autoPict="0">
                <anchor moveWithCells="1">
                  <from>
                    <xdr:col>9</xdr:col>
                    <xdr:colOff>1323975</xdr:colOff>
                    <xdr:row>3</xdr:row>
                    <xdr:rowOff>180975</xdr:rowOff>
                  </from>
                  <to>
                    <xdr:col>9</xdr:col>
                    <xdr:colOff>1962150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7" name="Check Box 45">
              <controlPr defaultSize="0" autoFill="0" autoLine="0" autoPict="0">
                <anchor moveWithCells="1">
                  <from>
                    <xdr:col>10</xdr:col>
                    <xdr:colOff>561975</xdr:colOff>
                    <xdr:row>4</xdr:row>
                    <xdr:rowOff>28575</xdr:rowOff>
                  </from>
                  <to>
                    <xdr:col>10</xdr:col>
                    <xdr:colOff>800100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8" name="Check Box 46">
              <controlPr defaultSize="0" autoFill="0" autoLine="0" autoPict="0">
                <anchor moveWithCells="1">
                  <from>
                    <xdr:col>7</xdr:col>
                    <xdr:colOff>381000</xdr:colOff>
                    <xdr:row>3</xdr:row>
                    <xdr:rowOff>152400</xdr:rowOff>
                  </from>
                  <to>
                    <xdr:col>7</xdr:col>
                    <xdr:colOff>781050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49" name="Check Box 47">
              <controlPr defaultSize="0" autoFill="0" autoLine="0" autoPict="0">
                <anchor moveWithCells="1">
                  <from>
                    <xdr:col>9</xdr:col>
                    <xdr:colOff>1323975</xdr:colOff>
                    <xdr:row>10</xdr:row>
                    <xdr:rowOff>0</xdr:rowOff>
                  </from>
                  <to>
                    <xdr:col>9</xdr:col>
                    <xdr:colOff>1790700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0" name="Check Box 48">
              <controlPr defaultSize="0" autoFill="0" autoLine="0" autoPict="0">
                <anchor moveWithCells="1">
                  <from>
                    <xdr:col>7</xdr:col>
                    <xdr:colOff>381000</xdr:colOff>
                    <xdr:row>27</xdr:row>
                    <xdr:rowOff>28575</xdr:rowOff>
                  </from>
                  <to>
                    <xdr:col>7</xdr:col>
                    <xdr:colOff>657225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1" name="Check Box 49">
              <controlPr defaultSize="0" autoFill="0" autoLine="0" autoPict="0">
                <anchor moveWithCells="1">
                  <from>
                    <xdr:col>7</xdr:col>
                    <xdr:colOff>381000</xdr:colOff>
                    <xdr:row>28</xdr:row>
                    <xdr:rowOff>19050</xdr:rowOff>
                  </from>
                  <to>
                    <xdr:col>7</xdr:col>
                    <xdr:colOff>685800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2" name="Check Box 50">
              <controlPr defaultSize="0" autoFill="0" autoLine="0" autoPict="0">
                <anchor moveWithCells="1">
                  <from>
                    <xdr:col>7</xdr:col>
                    <xdr:colOff>381000</xdr:colOff>
                    <xdr:row>29</xdr:row>
                    <xdr:rowOff>19050</xdr:rowOff>
                  </from>
                  <to>
                    <xdr:col>7</xdr:col>
                    <xdr:colOff>714375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3" name="Check Box 51">
              <controlPr defaultSize="0" autoFill="0" autoLine="0" autoPict="0">
                <anchor moveWithCells="1">
                  <from>
                    <xdr:col>7</xdr:col>
                    <xdr:colOff>381000</xdr:colOff>
                    <xdr:row>30</xdr:row>
                    <xdr:rowOff>0</xdr:rowOff>
                  </from>
                  <to>
                    <xdr:col>7</xdr:col>
                    <xdr:colOff>714375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4" name="Check Box 52">
              <controlPr defaultSize="0" autoFill="0" autoLine="0" autoPict="0">
                <anchor moveWithCells="1">
                  <from>
                    <xdr:col>7</xdr:col>
                    <xdr:colOff>381000</xdr:colOff>
                    <xdr:row>31</xdr:row>
                    <xdr:rowOff>0</xdr:rowOff>
                  </from>
                  <to>
                    <xdr:col>7</xdr:col>
                    <xdr:colOff>714375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5" name="Check Box 53">
              <controlPr defaultSize="0" autoFill="0" autoLine="0" autoPict="0">
                <anchor moveWithCells="1">
                  <from>
                    <xdr:col>7</xdr:col>
                    <xdr:colOff>381000</xdr:colOff>
                    <xdr:row>32</xdr:row>
                    <xdr:rowOff>19050</xdr:rowOff>
                  </from>
                  <to>
                    <xdr:col>7</xdr:col>
                    <xdr:colOff>695325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6" name="Check Box 54">
              <controlPr defaultSize="0" autoFill="0" autoLine="0" autoPict="0">
                <anchor moveWithCells="1">
                  <from>
                    <xdr:col>7</xdr:col>
                    <xdr:colOff>381000</xdr:colOff>
                    <xdr:row>33</xdr:row>
                    <xdr:rowOff>28575</xdr:rowOff>
                  </from>
                  <to>
                    <xdr:col>7</xdr:col>
                    <xdr:colOff>676275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7" name="Check Box 55">
              <controlPr defaultSize="0" autoFill="0" autoLine="0" autoPict="0">
                <anchor moveWithCells="1">
                  <from>
                    <xdr:col>9</xdr:col>
                    <xdr:colOff>1314450</xdr:colOff>
                    <xdr:row>27</xdr:row>
                    <xdr:rowOff>9525</xdr:rowOff>
                  </from>
                  <to>
                    <xdr:col>9</xdr:col>
                    <xdr:colOff>1781175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8" name="Check Box 56">
              <controlPr defaultSize="0" autoFill="0" autoLine="0" autoPict="0">
                <anchor moveWithCells="1">
                  <from>
                    <xdr:col>9</xdr:col>
                    <xdr:colOff>1314450</xdr:colOff>
                    <xdr:row>28</xdr:row>
                    <xdr:rowOff>19050</xdr:rowOff>
                  </from>
                  <to>
                    <xdr:col>9</xdr:col>
                    <xdr:colOff>1781175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59" name="Check Box 57">
              <controlPr defaultSize="0" autoFill="0" autoLine="0" autoPict="0">
                <anchor moveWithCells="1">
                  <from>
                    <xdr:col>9</xdr:col>
                    <xdr:colOff>1314450</xdr:colOff>
                    <xdr:row>29</xdr:row>
                    <xdr:rowOff>9525</xdr:rowOff>
                  </from>
                  <to>
                    <xdr:col>9</xdr:col>
                    <xdr:colOff>1781175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0" name="Check Box 58">
              <controlPr defaultSize="0" autoFill="0" autoLine="0" autoPict="0">
                <anchor moveWithCells="1">
                  <from>
                    <xdr:col>9</xdr:col>
                    <xdr:colOff>1314450</xdr:colOff>
                    <xdr:row>30</xdr:row>
                    <xdr:rowOff>9525</xdr:rowOff>
                  </from>
                  <to>
                    <xdr:col>9</xdr:col>
                    <xdr:colOff>1781175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1" name="Check Box 59">
              <controlPr defaultSize="0" autoFill="0" autoLine="0" autoPict="0">
                <anchor moveWithCells="1">
                  <from>
                    <xdr:col>9</xdr:col>
                    <xdr:colOff>1314450</xdr:colOff>
                    <xdr:row>31</xdr:row>
                    <xdr:rowOff>9525</xdr:rowOff>
                  </from>
                  <to>
                    <xdr:col>9</xdr:col>
                    <xdr:colOff>1781175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2" name="Check Box 60">
              <controlPr defaultSize="0" autoFill="0" autoLine="0" autoPict="0">
                <anchor moveWithCells="1">
                  <from>
                    <xdr:col>9</xdr:col>
                    <xdr:colOff>1314450</xdr:colOff>
                    <xdr:row>32</xdr:row>
                    <xdr:rowOff>38100</xdr:rowOff>
                  </from>
                  <to>
                    <xdr:col>9</xdr:col>
                    <xdr:colOff>1781175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3" name="Check Box 61">
              <controlPr defaultSize="0" autoFill="0" autoLine="0" autoPict="0">
                <anchor moveWithCells="1">
                  <from>
                    <xdr:col>9</xdr:col>
                    <xdr:colOff>1314450</xdr:colOff>
                    <xdr:row>33</xdr:row>
                    <xdr:rowOff>28575</xdr:rowOff>
                  </from>
                  <to>
                    <xdr:col>9</xdr:col>
                    <xdr:colOff>1781175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4" name="Check Box 62">
              <controlPr defaultSize="0" autoFill="0" autoLine="0" autoPict="0">
                <anchor moveWithCells="1">
                  <from>
                    <xdr:col>7</xdr:col>
                    <xdr:colOff>381000</xdr:colOff>
                    <xdr:row>34</xdr:row>
                    <xdr:rowOff>28575</xdr:rowOff>
                  </from>
                  <to>
                    <xdr:col>7</xdr:col>
                    <xdr:colOff>676275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5" name="Check Box 63">
              <controlPr defaultSize="0" autoFill="0" autoLine="0" autoPict="0">
                <anchor moveWithCells="1">
                  <from>
                    <xdr:col>9</xdr:col>
                    <xdr:colOff>1314450</xdr:colOff>
                    <xdr:row>34</xdr:row>
                    <xdr:rowOff>9525</xdr:rowOff>
                  </from>
                  <to>
                    <xdr:col>9</xdr:col>
                    <xdr:colOff>1781175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6" name="Check Box 64">
              <controlPr defaultSize="0" autoFill="0" autoLine="0" autoPict="0">
                <anchor moveWithCells="1">
                  <from>
                    <xdr:col>10</xdr:col>
                    <xdr:colOff>561975</xdr:colOff>
                    <xdr:row>5</xdr:row>
                    <xdr:rowOff>9525</xdr:rowOff>
                  </from>
                  <to>
                    <xdr:col>10</xdr:col>
                    <xdr:colOff>876300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7" name="Check Box 65">
              <controlPr defaultSize="0" autoFill="0" autoLine="0" autoPict="0">
                <anchor moveWithCells="1">
                  <from>
                    <xdr:col>10</xdr:col>
                    <xdr:colOff>561975</xdr:colOff>
                    <xdr:row>6</xdr:row>
                    <xdr:rowOff>28575</xdr:rowOff>
                  </from>
                  <to>
                    <xdr:col>10</xdr:col>
                    <xdr:colOff>790575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8" name="Check Box 66">
              <controlPr defaultSize="0" autoFill="0" autoLine="0" autoPict="0">
                <anchor moveWithCells="1">
                  <from>
                    <xdr:col>10</xdr:col>
                    <xdr:colOff>561975</xdr:colOff>
                    <xdr:row>7</xdr:row>
                    <xdr:rowOff>0</xdr:rowOff>
                  </from>
                  <to>
                    <xdr:col>10</xdr:col>
                    <xdr:colOff>790575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69" name="Check Box 67">
              <controlPr defaultSize="0" autoFill="0" autoLine="0" autoPict="0">
                <anchor moveWithCells="1">
                  <from>
                    <xdr:col>10</xdr:col>
                    <xdr:colOff>561975</xdr:colOff>
                    <xdr:row>8</xdr:row>
                    <xdr:rowOff>19050</xdr:rowOff>
                  </from>
                  <to>
                    <xdr:col>10</xdr:col>
                    <xdr:colOff>828675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0" name="Check Box 68">
              <controlPr defaultSize="0" autoFill="0" autoLine="0" autoPict="0">
                <anchor moveWithCells="1">
                  <from>
                    <xdr:col>10</xdr:col>
                    <xdr:colOff>561975</xdr:colOff>
                    <xdr:row>9</xdr:row>
                    <xdr:rowOff>0</xdr:rowOff>
                  </from>
                  <to>
                    <xdr:col>10</xdr:col>
                    <xdr:colOff>781050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1" name="Check Box 69">
              <controlPr defaultSize="0" autoFill="0" autoLine="0" autoPict="0">
                <anchor moveWithCells="1">
                  <from>
                    <xdr:col>10</xdr:col>
                    <xdr:colOff>561975</xdr:colOff>
                    <xdr:row>10</xdr:row>
                    <xdr:rowOff>0</xdr:rowOff>
                  </from>
                  <to>
                    <xdr:col>10</xdr:col>
                    <xdr:colOff>857250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2" name="Check Box 70">
              <controlPr defaultSize="0" autoFill="0" autoLine="0" autoPict="0">
                <anchor moveWithCells="1">
                  <from>
                    <xdr:col>10</xdr:col>
                    <xdr:colOff>561975</xdr:colOff>
                    <xdr:row>11</xdr:row>
                    <xdr:rowOff>9525</xdr:rowOff>
                  </from>
                  <to>
                    <xdr:col>10</xdr:col>
                    <xdr:colOff>781050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3" name="Check Box 71">
              <controlPr defaultSize="0" autoFill="0" autoLine="0" autoPict="0">
                <anchor moveWithCells="1">
                  <from>
                    <xdr:col>10</xdr:col>
                    <xdr:colOff>561975</xdr:colOff>
                    <xdr:row>12</xdr:row>
                    <xdr:rowOff>19050</xdr:rowOff>
                  </from>
                  <to>
                    <xdr:col>10</xdr:col>
                    <xdr:colOff>809625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4" name="Check Box 72">
              <controlPr defaultSize="0" autoFill="0" autoLine="0" autoPict="0">
                <anchor moveWithCells="1">
                  <from>
                    <xdr:col>10</xdr:col>
                    <xdr:colOff>561975</xdr:colOff>
                    <xdr:row>13</xdr:row>
                    <xdr:rowOff>9525</xdr:rowOff>
                  </from>
                  <to>
                    <xdr:col>10</xdr:col>
                    <xdr:colOff>819150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5" name="Check Box 73">
              <controlPr defaultSize="0" autoFill="0" autoLine="0" autoPict="0">
                <anchor moveWithCells="1">
                  <from>
                    <xdr:col>10</xdr:col>
                    <xdr:colOff>561975</xdr:colOff>
                    <xdr:row>14</xdr:row>
                    <xdr:rowOff>19050</xdr:rowOff>
                  </from>
                  <to>
                    <xdr:col>10</xdr:col>
                    <xdr:colOff>819150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6" name="Check Box 74">
              <controlPr defaultSize="0" autoFill="0" autoLine="0" autoPict="0">
                <anchor moveWithCells="1">
                  <from>
                    <xdr:col>10</xdr:col>
                    <xdr:colOff>561975</xdr:colOff>
                    <xdr:row>15</xdr:row>
                    <xdr:rowOff>28575</xdr:rowOff>
                  </from>
                  <to>
                    <xdr:col>10</xdr:col>
                    <xdr:colOff>809625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7" name="Check Box 75">
              <controlPr defaultSize="0" autoFill="0" autoLine="0" autoPict="0">
                <anchor moveWithCells="1">
                  <from>
                    <xdr:col>10</xdr:col>
                    <xdr:colOff>561975</xdr:colOff>
                    <xdr:row>16</xdr:row>
                    <xdr:rowOff>19050</xdr:rowOff>
                  </from>
                  <to>
                    <xdr:col>10</xdr:col>
                    <xdr:colOff>866775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8" name="Check Box 76">
              <controlPr defaultSize="0" autoFill="0" autoLine="0" autoPict="0">
                <anchor moveWithCells="1">
                  <from>
                    <xdr:col>10</xdr:col>
                    <xdr:colOff>561975</xdr:colOff>
                    <xdr:row>17</xdr:row>
                    <xdr:rowOff>19050</xdr:rowOff>
                  </from>
                  <to>
                    <xdr:col>10</xdr:col>
                    <xdr:colOff>752475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79" name="Check Box 77">
              <controlPr defaultSize="0" autoFill="0" autoLine="0" autoPict="0">
                <anchor moveWithCells="1">
                  <from>
                    <xdr:col>10</xdr:col>
                    <xdr:colOff>561975</xdr:colOff>
                    <xdr:row>18</xdr:row>
                    <xdr:rowOff>19050</xdr:rowOff>
                  </from>
                  <to>
                    <xdr:col>10</xdr:col>
                    <xdr:colOff>762000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0" name="Check Box 78">
              <controlPr defaultSize="0" autoFill="0" autoLine="0" autoPict="0">
                <anchor moveWithCells="1">
                  <from>
                    <xdr:col>10</xdr:col>
                    <xdr:colOff>561975</xdr:colOff>
                    <xdr:row>19</xdr:row>
                    <xdr:rowOff>19050</xdr:rowOff>
                  </from>
                  <to>
                    <xdr:col>10</xdr:col>
                    <xdr:colOff>800100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1" name="Check Box 79">
              <controlPr defaultSize="0" autoFill="0" autoLine="0" autoPict="0">
                <anchor moveWithCells="1">
                  <from>
                    <xdr:col>10</xdr:col>
                    <xdr:colOff>561975</xdr:colOff>
                    <xdr:row>20</xdr:row>
                    <xdr:rowOff>9525</xdr:rowOff>
                  </from>
                  <to>
                    <xdr:col>10</xdr:col>
                    <xdr:colOff>781050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2" name="Check Box 80">
              <controlPr defaultSize="0" autoFill="0" autoLine="0" autoPict="0">
                <anchor moveWithCells="1">
                  <from>
                    <xdr:col>10</xdr:col>
                    <xdr:colOff>561975</xdr:colOff>
                    <xdr:row>21</xdr:row>
                    <xdr:rowOff>0</xdr:rowOff>
                  </from>
                  <to>
                    <xdr:col>10</xdr:col>
                    <xdr:colOff>828675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3" name="Check Box 81">
              <controlPr defaultSize="0" autoFill="0" autoLine="0" autoPict="0">
                <anchor moveWithCells="1">
                  <from>
                    <xdr:col>10</xdr:col>
                    <xdr:colOff>561975</xdr:colOff>
                    <xdr:row>22</xdr:row>
                    <xdr:rowOff>9525</xdr:rowOff>
                  </from>
                  <to>
                    <xdr:col>10</xdr:col>
                    <xdr:colOff>781050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4" name="Check Box 82">
              <controlPr defaultSize="0" autoFill="0" autoLine="0" autoPict="0">
                <anchor moveWithCells="1">
                  <from>
                    <xdr:col>10</xdr:col>
                    <xdr:colOff>561975</xdr:colOff>
                    <xdr:row>23</xdr:row>
                    <xdr:rowOff>19050</xdr:rowOff>
                  </from>
                  <to>
                    <xdr:col>10</xdr:col>
                    <xdr:colOff>790575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5" name="Check Box 83">
              <controlPr defaultSize="0" autoFill="0" autoLine="0" autoPict="0">
                <anchor moveWithCells="1">
                  <from>
                    <xdr:col>10</xdr:col>
                    <xdr:colOff>561975</xdr:colOff>
                    <xdr:row>24</xdr:row>
                    <xdr:rowOff>19050</xdr:rowOff>
                  </from>
                  <to>
                    <xdr:col>10</xdr:col>
                    <xdr:colOff>790575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6" name="Check Box 84">
              <controlPr defaultSize="0" autoFill="0" autoLine="0" autoPict="0">
                <anchor moveWithCells="1">
                  <from>
                    <xdr:col>10</xdr:col>
                    <xdr:colOff>561975</xdr:colOff>
                    <xdr:row>25</xdr:row>
                    <xdr:rowOff>9525</xdr:rowOff>
                  </from>
                  <to>
                    <xdr:col>10</xdr:col>
                    <xdr:colOff>819150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7" name="Check Box 85">
              <controlPr defaultSize="0" autoFill="0" autoLine="0" autoPict="0">
                <anchor moveWithCells="1">
                  <from>
                    <xdr:col>10</xdr:col>
                    <xdr:colOff>561975</xdr:colOff>
                    <xdr:row>26</xdr:row>
                    <xdr:rowOff>19050</xdr:rowOff>
                  </from>
                  <to>
                    <xdr:col>10</xdr:col>
                    <xdr:colOff>790575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8" name="Check Box 86">
              <controlPr defaultSize="0" autoFill="0" autoLine="0" autoPict="0">
                <anchor moveWithCells="1">
                  <from>
                    <xdr:col>10</xdr:col>
                    <xdr:colOff>561975</xdr:colOff>
                    <xdr:row>27</xdr:row>
                    <xdr:rowOff>0</xdr:rowOff>
                  </from>
                  <to>
                    <xdr:col>10</xdr:col>
                    <xdr:colOff>847725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89" name="Check Box 87">
              <controlPr defaultSize="0" autoFill="0" autoLine="0" autoPict="0">
                <anchor moveWithCells="1">
                  <from>
                    <xdr:col>10</xdr:col>
                    <xdr:colOff>561975</xdr:colOff>
                    <xdr:row>28</xdr:row>
                    <xdr:rowOff>0</xdr:rowOff>
                  </from>
                  <to>
                    <xdr:col>10</xdr:col>
                    <xdr:colOff>847725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0" name="Check Box 88">
              <controlPr defaultSize="0" autoFill="0" autoLine="0" autoPict="0">
                <anchor moveWithCells="1">
                  <from>
                    <xdr:col>10</xdr:col>
                    <xdr:colOff>561975</xdr:colOff>
                    <xdr:row>29</xdr:row>
                    <xdr:rowOff>19050</xdr:rowOff>
                  </from>
                  <to>
                    <xdr:col>10</xdr:col>
                    <xdr:colOff>800100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1" name="Check Box 89">
              <controlPr defaultSize="0" autoFill="0" autoLine="0" autoPict="0">
                <anchor moveWithCells="1">
                  <from>
                    <xdr:col>10</xdr:col>
                    <xdr:colOff>561975</xdr:colOff>
                    <xdr:row>30</xdr:row>
                    <xdr:rowOff>9525</xdr:rowOff>
                  </from>
                  <to>
                    <xdr:col>10</xdr:col>
                    <xdr:colOff>819150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2" name="Check Box 90">
              <controlPr defaultSize="0" autoFill="0" autoLine="0" autoPict="0">
                <anchor moveWithCells="1">
                  <from>
                    <xdr:col>10</xdr:col>
                    <xdr:colOff>561975</xdr:colOff>
                    <xdr:row>31</xdr:row>
                    <xdr:rowOff>19050</xdr:rowOff>
                  </from>
                  <to>
                    <xdr:col>10</xdr:col>
                    <xdr:colOff>838200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3" name="Check Box 91">
              <controlPr defaultSize="0" autoFill="0" autoLine="0" autoPict="0">
                <anchor moveWithCells="1">
                  <from>
                    <xdr:col>10</xdr:col>
                    <xdr:colOff>561975</xdr:colOff>
                    <xdr:row>32</xdr:row>
                    <xdr:rowOff>0</xdr:rowOff>
                  </from>
                  <to>
                    <xdr:col>10</xdr:col>
                    <xdr:colOff>838200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4" name="Check Box 92">
              <controlPr defaultSize="0" autoFill="0" autoLine="0" autoPict="0">
                <anchor moveWithCells="1">
                  <from>
                    <xdr:col>10</xdr:col>
                    <xdr:colOff>561975</xdr:colOff>
                    <xdr:row>33</xdr:row>
                    <xdr:rowOff>0</xdr:rowOff>
                  </from>
                  <to>
                    <xdr:col>10</xdr:col>
                    <xdr:colOff>809625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5" name="Check Box 93">
              <controlPr defaultSize="0" autoFill="0" autoLine="0" autoPict="0">
                <anchor moveWithCells="1">
                  <from>
                    <xdr:col>10</xdr:col>
                    <xdr:colOff>561975</xdr:colOff>
                    <xdr:row>34</xdr:row>
                    <xdr:rowOff>0</xdr:rowOff>
                  </from>
                  <to>
                    <xdr:col>10</xdr:col>
                    <xdr:colOff>876300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6" name="Check Box 94">
              <controlPr defaultSize="0" autoFill="0" autoLine="0" autoPict="0">
                <anchor moveWithCells="1">
                  <from>
                    <xdr:col>8</xdr:col>
                    <xdr:colOff>514350</xdr:colOff>
                    <xdr:row>6</xdr:row>
                    <xdr:rowOff>161925</xdr:rowOff>
                  </from>
                  <to>
                    <xdr:col>8</xdr:col>
                    <xdr:colOff>904875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7" name="Check Box 95">
              <controlPr defaultSize="0" autoFill="0" autoLine="0" autoPict="0">
                <anchor moveWithCells="1">
                  <from>
                    <xdr:col>8</xdr:col>
                    <xdr:colOff>514350</xdr:colOff>
                    <xdr:row>7</xdr:row>
                    <xdr:rowOff>161925</xdr:rowOff>
                  </from>
                  <to>
                    <xdr:col>8</xdr:col>
                    <xdr:colOff>828675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8" name="Check Box 96">
              <controlPr defaultSize="0" autoFill="0" autoLine="0" autoPict="0">
                <anchor moveWithCells="1">
                  <from>
                    <xdr:col>8</xdr:col>
                    <xdr:colOff>514350</xdr:colOff>
                    <xdr:row>8</xdr:row>
                    <xdr:rowOff>161925</xdr:rowOff>
                  </from>
                  <to>
                    <xdr:col>8</xdr:col>
                    <xdr:colOff>828675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99" name="Check Box 97">
              <controlPr defaultSize="0" autoFill="0" autoLine="0" autoPict="0">
                <anchor moveWithCells="1">
                  <from>
                    <xdr:col>8</xdr:col>
                    <xdr:colOff>514350</xdr:colOff>
                    <xdr:row>9</xdr:row>
                    <xdr:rowOff>133350</xdr:rowOff>
                  </from>
                  <to>
                    <xdr:col>8</xdr:col>
                    <xdr:colOff>828675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0" name="Check Box 98">
              <controlPr defaultSize="0" autoFill="0" autoLine="0" autoPict="0">
                <anchor moveWithCells="1">
                  <from>
                    <xdr:col>8</xdr:col>
                    <xdr:colOff>514350</xdr:colOff>
                    <xdr:row>10</xdr:row>
                    <xdr:rowOff>133350</xdr:rowOff>
                  </from>
                  <to>
                    <xdr:col>8</xdr:col>
                    <xdr:colOff>847725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1" name="Check Box 99">
              <controlPr defaultSize="0" autoFill="0" autoLine="0" autoPict="0">
                <anchor moveWithCells="1">
                  <from>
                    <xdr:col>8</xdr:col>
                    <xdr:colOff>514350</xdr:colOff>
                    <xdr:row>11</xdr:row>
                    <xdr:rowOff>142875</xdr:rowOff>
                  </from>
                  <to>
                    <xdr:col>8</xdr:col>
                    <xdr:colOff>857250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2" name="Check Box 100">
              <controlPr defaultSize="0" autoFill="0" autoLine="0" autoPict="0">
                <anchor moveWithCells="1">
                  <from>
                    <xdr:col>8</xdr:col>
                    <xdr:colOff>514350</xdr:colOff>
                    <xdr:row>12</xdr:row>
                    <xdr:rowOff>161925</xdr:rowOff>
                  </from>
                  <to>
                    <xdr:col>8</xdr:col>
                    <xdr:colOff>819150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3" name="Check Box 101">
              <controlPr defaultSize="0" autoFill="0" autoLine="0" autoPict="0">
                <anchor moveWithCells="1">
                  <from>
                    <xdr:col>8</xdr:col>
                    <xdr:colOff>514350</xdr:colOff>
                    <xdr:row>13</xdr:row>
                    <xdr:rowOff>152400</xdr:rowOff>
                  </from>
                  <to>
                    <xdr:col>8</xdr:col>
                    <xdr:colOff>828675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4" name="Check Box 102">
              <controlPr defaultSize="0" autoFill="0" autoLine="0" autoPict="0">
                <anchor moveWithCells="1">
                  <from>
                    <xdr:col>8</xdr:col>
                    <xdr:colOff>514350</xdr:colOff>
                    <xdr:row>14</xdr:row>
                    <xdr:rowOff>152400</xdr:rowOff>
                  </from>
                  <to>
                    <xdr:col>8</xdr:col>
                    <xdr:colOff>800100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5" name="Check Box 103">
              <controlPr defaultSize="0" autoFill="0" autoLine="0" autoPict="0">
                <anchor moveWithCells="1">
                  <from>
                    <xdr:col>8</xdr:col>
                    <xdr:colOff>514350</xdr:colOff>
                    <xdr:row>15</xdr:row>
                    <xdr:rowOff>171450</xdr:rowOff>
                  </from>
                  <to>
                    <xdr:col>8</xdr:col>
                    <xdr:colOff>847725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6" name="Check Box 104">
              <controlPr defaultSize="0" autoFill="0" autoLine="0" autoPict="0">
                <anchor moveWithCells="1">
                  <from>
                    <xdr:col>8</xdr:col>
                    <xdr:colOff>514350</xdr:colOff>
                    <xdr:row>16</xdr:row>
                    <xdr:rowOff>161925</xdr:rowOff>
                  </from>
                  <to>
                    <xdr:col>8</xdr:col>
                    <xdr:colOff>876300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7" name="Check Box 105">
              <controlPr defaultSize="0" autoFill="0" autoLine="0" autoPict="0">
                <anchor moveWithCells="1">
                  <from>
                    <xdr:col>8</xdr:col>
                    <xdr:colOff>514350</xdr:colOff>
                    <xdr:row>17</xdr:row>
                    <xdr:rowOff>152400</xdr:rowOff>
                  </from>
                  <to>
                    <xdr:col>8</xdr:col>
                    <xdr:colOff>847725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8" name="Check Box 106">
              <controlPr defaultSize="0" autoFill="0" autoLine="0" autoPict="0">
                <anchor moveWithCells="1">
                  <from>
                    <xdr:col>8</xdr:col>
                    <xdr:colOff>514350</xdr:colOff>
                    <xdr:row>18</xdr:row>
                    <xdr:rowOff>161925</xdr:rowOff>
                  </from>
                  <to>
                    <xdr:col>8</xdr:col>
                    <xdr:colOff>819150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09" name="Check Box 107">
              <controlPr defaultSize="0" autoFill="0" autoLine="0" autoPict="0">
                <anchor moveWithCells="1">
                  <from>
                    <xdr:col>8</xdr:col>
                    <xdr:colOff>514350</xdr:colOff>
                    <xdr:row>19</xdr:row>
                    <xdr:rowOff>180975</xdr:rowOff>
                  </from>
                  <to>
                    <xdr:col>8</xdr:col>
                    <xdr:colOff>790575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0" name="Check Box 108">
              <controlPr defaultSize="0" autoFill="0" autoLine="0" autoPict="0">
                <anchor moveWithCells="1">
                  <from>
                    <xdr:col>8</xdr:col>
                    <xdr:colOff>514350</xdr:colOff>
                    <xdr:row>20</xdr:row>
                    <xdr:rowOff>142875</xdr:rowOff>
                  </from>
                  <to>
                    <xdr:col>8</xdr:col>
                    <xdr:colOff>819150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1" name="Check Box 109">
              <controlPr defaultSize="0" autoFill="0" autoLine="0" autoPict="0">
                <anchor moveWithCells="1">
                  <from>
                    <xdr:col>8</xdr:col>
                    <xdr:colOff>514350</xdr:colOff>
                    <xdr:row>21</xdr:row>
                    <xdr:rowOff>142875</xdr:rowOff>
                  </from>
                  <to>
                    <xdr:col>8</xdr:col>
                    <xdr:colOff>847725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2" name="Check Box 110">
              <controlPr defaultSize="0" autoFill="0" autoLine="0" autoPict="0">
                <anchor moveWithCells="1">
                  <from>
                    <xdr:col>8</xdr:col>
                    <xdr:colOff>514350</xdr:colOff>
                    <xdr:row>22</xdr:row>
                    <xdr:rowOff>142875</xdr:rowOff>
                  </from>
                  <to>
                    <xdr:col>8</xdr:col>
                    <xdr:colOff>847725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3" name="Check Box 111">
              <controlPr defaultSize="0" autoFill="0" autoLine="0" autoPict="0">
                <anchor moveWithCells="1">
                  <from>
                    <xdr:col>8</xdr:col>
                    <xdr:colOff>514350</xdr:colOff>
                    <xdr:row>23</xdr:row>
                    <xdr:rowOff>161925</xdr:rowOff>
                  </from>
                  <to>
                    <xdr:col>8</xdr:col>
                    <xdr:colOff>847725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4" name="Check Box 112">
              <controlPr defaultSize="0" autoFill="0" autoLine="0" autoPict="0">
                <anchor moveWithCells="1">
                  <from>
                    <xdr:col>8</xdr:col>
                    <xdr:colOff>514350</xdr:colOff>
                    <xdr:row>24</xdr:row>
                    <xdr:rowOff>152400</xdr:rowOff>
                  </from>
                  <to>
                    <xdr:col>8</xdr:col>
                    <xdr:colOff>828675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5" name="Check Box 113">
              <controlPr defaultSize="0" autoFill="0" autoLine="0" autoPict="0">
                <anchor moveWithCells="1">
                  <from>
                    <xdr:col>8</xdr:col>
                    <xdr:colOff>514350</xdr:colOff>
                    <xdr:row>25</xdr:row>
                    <xdr:rowOff>161925</xdr:rowOff>
                  </from>
                  <to>
                    <xdr:col>8</xdr:col>
                    <xdr:colOff>809625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6" name="Check Box 114">
              <controlPr defaultSize="0" autoFill="0" autoLine="0" autoPict="0">
                <anchor moveWithCells="1">
                  <from>
                    <xdr:col>8</xdr:col>
                    <xdr:colOff>514350</xdr:colOff>
                    <xdr:row>5</xdr:row>
                    <xdr:rowOff>161925</xdr:rowOff>
                  </from>
                  <to>
                    <xdr:col>8</xdr:col>
                    <xdr:colOff>942975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7" name="Check Box 115">
              <controlPr defaultSize="0" autoFill="0" autoLine="0" autoPict="0">
                <anchor moveWithCells="1">
                  <from>
                    <xdr:col>8</xdr:col>
                    <xdr:colOff>514350</xdr:colOff>
                    <xdr:row>4</xdr:row>
                    <xdr:rowOff>142875</xdr:rowOff>
                  </from>
                  <to>
                    <xdr:col>8</xdr:col>
                    <xdr:colOff>914400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8" name="Check Box 116">
              <controlPr defaultSize="0" autoFill="0" autoLine="0" autoPict="0">
                <anchor moveWithCells="1">
                  <from>
                    <xdr:col>8</xdr:col>
                    <xdr:colOff>514350</xdr:colOff>
                    <xdr:row>3</xdr:row>
                    <xdr:rowOff>142875</xdr:rowOff>
                  </from>
                  <to>
                    <xdr:col>8</xdr:col>
                    <xdr:colOff>914400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19" name="Check Box 117">
              <controlPr defaultSize="0" autoFill="0" autoLine="0" autoPict="0">
                <anchor moveWithCells="1">
                  <from>
                    <xdr:col>8</xdr:col>
                    <xdr:colOff>514350</xdr:colOff>
                    <xdr:row>27</xdr:row>
                    <xdr:rowOff>9525</xdr:rowOff>
                  </from>
                  <to>
                    <xdr:col>8</xdr:col>
                    <xdr:colOff>790575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0" name="Check Box 118">
              <controlPr defaultSize="0" autoFill="0" autoLine="0" autoPict="0">
                <anchor moveWithCells="1">
                  <from>
                    <xdr:col>8</xdr:col>
                    <xdr:colOff>514350</xdr:colOff>
                    <xdr:row>27</xdr:row>
                    <xdr:rowOff>180975</xdr:rowOff>
                  </from>
                  <to>
                    <xdr:col>8</xdr:col>
                    <xdr:colOff>819150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1" name="Check Box 119">
              <controlPr defaultSize="0" autoFill="0" autoLine="0" autoPict="0">
                <anchor moveWithCells="1">
                  <from>
                    <xdr:col>8</xdr:col>
                    <xdr:colOff>514350</xdr:colOff>
                    <xdr:row>28</xdr:row>
                    <xdr:rowOff>161925</xdr:rowOff>
                  </from>
                  <to>
                    <xdr:col>8</xdr:col>
                    <xdr:colOff>847725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2" name="Check Box 120">
              <controlPr defaultSize="0" autoFill="0" autoLine="0" autoPict="0">
                <anchor moveWithCells="1">
                  <from>
                    <xdr:col>8</xdr:col>
                    <xdr:colOff>514350</xdr:colOff>
                    <xdr:row>29</xdr:row>
                    <xdr:rowOff>161925</xdr:rowOff>
                  </from>
                  <to>
                    <xdr:col>8</xdr:col>
                    <xdr:colOff>847725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3" name="Check Box 121">
              <controlPr defaultSize="0" autoFill="0" autoLine="0" autoPict="0">
                <anchor moveWithCells="1">
                  <from>
                    <xdr:col>8</xdr:col>
                    <xdr:colOff>514350</xdr:colOff>
                    <xdr:row>30</xdr:row>
                    <xdr:rowOff>180975</xdr:rowOff>
                  </from>
                  <to>
                    <xdr:col>8</xdr:col>
                    <xdr:colOff>847725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4" name="Check Box 122">
              <controlPr defaultSize="0" autoFill="0" autoLine="0" autoPict="0">
                <anchor moveWithCells="1">
                  <from>
                    <xdr:col>8</xdr:col>
                    <xdr:colOff>514350</xdr:colOff>
                    <xdr:row>31</xdr:row>
                    <xdr:rowOff>171450</xdr:rowOff>
                  </from>
                  <to>
                    <xdr:col>8</xdr:col>
                    <xdr:colOff>828675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5" name="Check Box 123">
              <controlPr defaultSize="0" autoFill="0" autoLine="0" autoPict="0">
                <anchor moveWithCells="1">
                  <from>
                    <xdr:col>8</xdr:col>
                    <xdr:colOff>514350</xdr:colOff>
                    <xdr:row>32</xdr:row>
                    <xdr:rowOff>161925</xdr:rowOff>
                  </from>
                  <to>
                    <xdr:col>8</xdr:col>
                    <xdr:colOff>809625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6" name="Check Box 124">
              <controlPr defaultSize="0" autoFill="0" autoLine="0" autoPict="0">
                <anchor moveWithCells="1">
                  <from>
                    <xdr:col>8</xdr:col>
                    <xdr:colOff>514350</xdr:colOff>
                    <xdr:row>33</xdr:row>
                    <xdr:rowOff>142875</xdr:rowOff>
                  </from>
                  <to>
                    <xdr:col>8</xdr:col>
                    <xdr:colOff>809625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7" name="Button 125">
              <controlPr defaultSize="0" print="0" autoFill="0" autoPict="0" macro="[0]!Button125_Click">
                <anchor moveWithCells="1" sizeWithCells="1">
                  <from>
                    <xdr:col>11</xdr:col>
                    <xdr:colOff>847725</xdr:colOff>
                    <xdr:row>0</xdr:row>
                    <xdr:rowOff>95250</xdr:rowOff>
                  </from>
                  <to>
                    <xdr:col>14</xdr:col>
                    <xdr:colOff>228600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M55"/>
  <sheetViews>
    <sheetView workbookViewId="0">
      <selection activeCell="E4" sqref="E4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8" width="28.140625" customWidth="1"/>
    <col min="9" max="9" width="20.140625" customWidth="1"/>
    <col min="10" max="10" width="17.5703125" customWidth="1"/>
  </cols>
  <sheetData>
    <row r="1" spans="2:13" ht="23.25">
      <c r="B1" s="87" t="s">
        <v>279</v>
      </c>
    </row>
    <row r="4" spans="2:13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231</v>
      </c>
      <c r="I4" s="32" t="s">
        <v>232</v>
      </c>
      <c r="J4" s="32" t="s">
        <v>6</v>
      </c>
    </row>
    <row r="5" spans="2:13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OFFSET(Members!J80,Members!$L$1,0)</f>
        <v>15</v>
      </c>
      <c r="G5" s="79">
        <f ca="1">OFFSET(Members!J41,Members!$L$1,0)</f>
        <v>20</v>
      </c>
      <c r="J5" s="89">
        <f ca="1">SUM(L5*'Price of Tickets'!$I$32,M5*'Price of Tickets'!$I$33+F5+G5)</f>
        <v>95.1</v>
      </c>
      <c r="L5" s="94" t="b">
        <v>1</v>
      </c>
      <c r="M5" s="94" t="b">
        <v>1</v>
      </c>
    </row>
    <row r="6" spans="2:13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OFFSET(Members!J81,Members!$L$1,0)</f>
        <v>5</v>
      </c>
      <c r="G6" s="79">
        <f ca="1">OFFSET(Members!J42,Members!$L$1,0)</f>
        <v>7.4</v>
      </c>
      <c r="J6" s="89">
        <f ca="1">SUM(L6*'Price of Tickets'!$I$125,M6*'Price of Tickets'!$I$126+F6+G6)</f>
        <v>42.45</v>
      </c>
      <c r="L6" s="94" t="b">
        <v>1</v>
      </c>
      <c r="M6" s="94" t="b">
        <v>1</v>
      </c>
    </row>
    <row r="7" spans="2:13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OFFSET(Members!J82,Members!$L$1,0)</f>
        <v>15</v>
      </c>
      <c r="G7" s="79">
        <f ca="1">OFFSET(Members!J43,Members!$L$1,0)</f>
        <v>20</v>
      </c>
      <c r="J7" s="89">
        <f ca="1">SUM(L7*'Price of Tickets'!$I$32,M7*'Price of Tickets'!$I$33+F7+G7)</f>
        <v>95.1</v>
      </c>
      <c r="L7" s="94" t="b">
        <v>1</v>
      </c>
      <c r="M7" s="94" t="b">
        <v>1</v>
      </c>
    </row>
    <row r="8" spans="2:13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OFFSET(Members!J83,Members!$L$1,0)</f>
        <v>7.5</v>
      </c>
      <c r="G8" s="79">
        <f ca="1">OFFSET(Members!J44,Members!$L$1,0)</f>
        <v>11</v>
      </c>
      <c r="J8" s="91">
        <f ca="1">SUM(L8*'Price of Tickets'!$H$88,M8*'Price of Tickets'!$H$89+F8+G8)</f>
        <v>68.082499999999996</v>
      </c>
      <c r="L8" s="94" t="b">
        <v>1</v>
      </c>
      <c r="M8" s="94" t="b">
        <v>1</v>
      </c>
    </row>
    <row r="9" spans="2:13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OFFSET(Members!J84,Members!$L$1,0)</f>
        <v>15</v>
      </c>
      <c r="G9" s="79">
        <f ca="1">OFFSET(Members!J45,Members!$L$1,0)</f>
        <v>20</v>
      </c>
      <c r="J9" s="89">
        <f ca="1">SUM(L9*'Price of Tickets'!$I$32,M9*'Price of Tickets'!$I$33+F9+G9)</f>
        <v>95.1</v>
      </c>
      <c r="L9" s="94" t="b">
        <v>1</v>
      </c>
      <c r="M9" s="94" t="b">
        <v>1</v>
      </c>
    </row>
    <row r="10" spans="2:13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OFFSET(Members!J85,Members!$L$1,0)</f>
        <v>5</v>
      </c>
      <c r="G10" s="79">
        <f ca="1">OFFSET(Members!J46,Members!$L$1,0)</f>
        <v>7.4</v>
      </c>
      <c r="J10" s="89">
        <f ca="1">SUM(L10*'Price of Tickets'!$I$125,M10*'Price of Tickets'!$I$126+F10+G10)</f>
        <v>42.45</v>
      </c>
      <c r="L10" s="94" t="b">
        <v>1</v>
      </c>
      <c r="M10" s="94" t="b">
        <v>1</v>
      </c>
    </row>
    <row r="11" spans="2:13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OFFSET(Members!J86,Members!$L$1,0)</f>
        <v>10</v>
      </c>
      <c r="G11" s="79">
        <f ca="1">OFFSET(Members!J47,Members!$L$1,0)</f>
        <v>14.5</v>
      </c>
      <c r="J11" s="89">
        <f ca="1">SUM(L11*'Price of Tickets'!$H$60,M11*'Price of Tickets'!$H$61+F11+G11)</f>
        <v>78.59</v>
      </c>
      <c r="L11" s="94" t="b">
        <v>1</v>
      </c>
      <c r="M11" s="94" t="b">
        <v>1</v>
      </c>
    </row>
    <row r="12" spans="2:13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OFFSET(Members!J87,Members!$L$1,0)</f>
        <v>10</v>
      </c>
      <c r="G12" s="79">
        <f ca="1">OFFSET(Members!J48,Members!$L$1,0)</f>
        <v>14.5</v>
      </c>
      <c r="J12" s="89">
        <f ca="1">SUM(L12*'Price of Tickets'!$H$60,M12*'Price of Tickets'!$H$61+F12+G12)</f>
        <v>78.59</v>
      </c>
      <c r="L12" s="94" t="b">
        <v>1</v>
      </c>
      <c r="M12" s="94" t="b">
        <v>1</v>
      </c>
    </row>
    <row r="13" spans="2:13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OFFSET(Members!J88,Members!$L$1,0)</f>
        <v>15</v>
      </c>
      <c r="G13" s="79">
        <f ca="1">OFFSET(Members!J49,Members!$L$1,0)</f>
        <v>20</v>
      </c>
      <c r="J13" s="89">
        <f ca="1">SUM(L13*'Price of Tickets'!$I$32,M13*'Price of Tickets'!$I$33+F13+G13)</f>
        <v>95.1</v>
      </c>
      <c r="L13" s="94" t="b">
        <v>1</v>
      </c>
      <c r="M13" s="94" t="b">
        <v>1</v>
      </c>
    </row>
    <row r="14" spans="2:13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OFFSET(Members!J89,Members!$L$1,0)</f>
        <v>15</v>
      </c>
      <c r="G14" s="79">
        <f ca="1">OFFSET(Members!J50,Members!$L$1,0)</f>
        <v>20</v>
      </c>
      <c r="J14" s="89">
        <f ca="1">SUM(L14*'Price of Tickets'!$I$32,M14*'Price of Tickets'!$I$33+F14+G14)</f>
        <v>95.1</v>
      </c>
      <c r="L14" s="94" t="b">
        <v>1</v>
      </c>
      <c r="M14" s="94" t="b">
        <v>1</v>
      </c>
    </row>
    <row r="15" spans="2:13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OFFSET(Members!J90,Members!$L$1,0)</f>
        <v>7.5</v>
      </c>
      <c r="G15" s="79">
        <f ca="1">OFFSET(Members!J51,Members!$L$1,0)</f>
        <v>11</v>
      </c>
      <c r="J15" s="91">
        <f ca="1">SUM(L15*'Price of Tickets'!$H$88,M15*'Price of Tickets'!$H$89+F15+G15)</f>
        <v>68.082499999999996</v>
      </c>
      <c r="L15" s="94" t="b">
        <v>1</v>
      </c>
      <c r="M15" s="94" t="b">
        <v>1</v>
      </c>
    </row>
    <row r="16" spans="2:13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OFFSET(Members!J91,Members!$L$1,0)</f>
        <v>15</v>
      </c>
      <c r="G16" s="79">
        <f ca="1">OFFSET(Members!J52,Members!$L$1,0)</f>
        <v>20</v>
      </c>
      <c r="J16" s="89">
        <f ca="1">SUM(L16*'Price of Tickets'!$I$32,M16*'Price of Tickets'!$I$33+F16+G16)</f>
        <v>95.1</v>
      </c>
      <c r="L16" s="94" t="b">
        <v>1</v>
      </c>
      <c r="M16" s="94" t="b">
        <v>1</v>
      </c>
    </row>
    <row r="17" spans="2:13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OFFSET(Members!J92,Members!$L$1,0)</f>
        <v>15</v>
      </c>
      <c r="G17" s="79">
        <f ca="1">OFFSET(Members!J53,Members!$L$1,0)</f>
        <v>20</v>
      </c>
      <c r="J17" s="89">
        <f ca="1">SUM(L17*'Price of Tickets'!$I$32,M17*'Price of Tickets'!$I$33+F17+G17)</f>
        <v>95.1</v>
      </c>
      <c r="L17" s="94" t="b">
        <v>1</v>
      </c>
      <c r="M17" s="94" t="b">
        <v>1</v>
      </c>
    </row>
    <row r="18" spans="2:13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OFFSET(Members!J93,Members!$L$1,0)</f>
        <v>15</v>
      </c>
      <c r="G18" s="79">
        <f ca="1">OFFSET(Members!J54,Members!$L$1,0)</f>
        <v>20</v>
      </c>
      <c r="J18" s="89">
        <f ca="1">SUM(L18*'Price of Tickets'!$I$32,M18*'Price of Tickets'!$I$33+F18+G18)</f>
        <v>95.1</v>
      </c>
      <c r="L18" s="94" t="b">
        <v>1</v>
      </c>
      <c r="M18" s="94" t="b">
        <v>1</v>
      </c>
    </row>
    <row r="19" spans="2:13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OFFSET(Members!J94,Members!$L$1,0)</f>
        <v>15</v>
      </c>
      <c r="G19" s="79">
        <f ca="1">OFFSET(Members!J55,Members!$L$1,0)</f>
        <v>20</v>
      </c>
      <c r="J19" s="89">
        <f ca="1">SUM(L19*'Price of Tickets'!$I$32,M19*'Price of Tickets'!$I$33+F19+G19)</f>
        <v>95.1</v>
      </c>
      <c r="L19" s="94" t="b">
        <v>1</v>
      </c>
      <c r="M19" s="94" t="b">
        <v>1</v>
      </c>
    </row>
    <row r="20" spans="2:13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OFFSET(Members!J95,Members!$L$1,0)</f>
        <v>7.5</v>
      </c>
      <c r="G20" s="79">
        <f ca="1">OFFSET(Members!J56,Members!$L$1,0)</f>
        <v>11</v>
      </c>
      <c r="J20" s="91">
        <f ca="1">SUM(L20*'Price of Tickets'!$H$88,M20*'Price of Tickets'!$H$89+F20+G20)</f>
        <v>68.082499999999996</v>
      </c>
      <c r="L20" s="94" t="b">
        <v>1</v>
      </c>
      <c r="M20" s="94" t="b">
        <v>1</v>
      </c>
    </row>
    <row r="21" spans="2:13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OFFSET(Members!J96,Members!$L$1,0)</f>
        <v>15</v>
      </c>
      <c r="G21" s="79">
        <f ca="1">OFFSET(Members!J57,Members!$L$1,0)</f>
        <v>20</v>
      </c>
      <c r="J21" s="89">
        <f ca="1">SUM(L21*'Price of Tickets'!$I$32,M21*'Price of Tickets'!$I$33+F21+G21)</f>
        <v>95.1</v>
      </c>
      <c r="L21" s="94" t="b">
        <v>1</v>
      </c>
      <c r="M21" s="94" t="b">
        <v>1</v>
      </c>
    </row>
    <row r="22" spans="2:13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OFFSET(Members!J97,Members!$L$1,0)</f>
        <v>7.5</v>
      </c>
      <c r="G22" s="79">
        <f ca="1">OFFSET(Members!J58,Members!$L$1,0)</f>
        <v>11</v>
      </c>
      <c r="J22" s="91">
        <f ca="1">SUM(L22*'Price of Tickets'!$H$88,M22*'Price of Tickets'!$H$89+F22+G22)</f>
        <v>68.082499999999996</v>
      </c>
      <c r="L22" s="94" t="b">
        <v>1</v>
      </c>
      <c r="M22" s="94" t="b">
        <v>1</v>
      </c>
    </row>
    <row r="23" spans="2:13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OFFSET(Members!J98,Members!$L$1,0)</f>
        <v>15</v>
      </c>
      <c r="G23" s="79">
        <f ca="1">OFFSET(Members!J59,Members!$L$1,0)</f>
        <v>20</v>
      </c>
      <c r="J23" s="89">
        <f ca="1">SUM(L23*'Price of Tickets'!$I$32,M23*'Price of Tickets'!$I$33+F23+G23)</f>
        <v>95.1</v>
      </c>
      <c r="L23" s="94" t="b">
        <v>1</v>
      </c>
      <c r="M23" s="94" t="b">
        <v>1</v>
      </c>
    </row>
    <row r="24" spans="2:13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OFFSET(Members!J99,Members!$L$1,0)</f>
        <v>10</v>
      </c>
      <c r="G24" s="79">
        <f ca="1">OFFSET(Members!J60,Members!$L$1,0)</f>
        <v>14.5</v>
      </c>
      <c r="J24" s="89">
        <f ca="1">SUM(L24*'Price of Tickets'!$H$60,M24*'Price of Tickets'!$H$61+F24+G24)</f>
        <v>78.59</v>
      </c>
      <c r="L24" s="94" t="b">
        <v>1</v>
      </c>
      <c r="M24" s="94" t="b">
        <v>1</v>
      </c>
    </row>
    <row r="25" spans="2:13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OFFSET(Members!J100,Members!$L$1,0)</f>
        <v>10</v>
      </c>
      <c r="G25" s="79">
        <f ca="1">OFFSET(Members!J61,Members!$L$1,0)</f>
        <v>14.5</v>
      </c>
      <c r="J25" s="89">
        <f ca="1">SUM(L25*'Price of Tickets'!$H$60,M25*'Price of Tickets'!$H$61+F25+G25)</f>
        <v>78.59</v>
      </c>
      <c r="L25" s="94" t="b">
        <v>1</v>
      </c>
      <c r="M25" s="94" t="b">
        <v>1</v>
      </c>
    </row>
    <row r="26" spans="2:13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OFFSET(Members!J101,Members!$L$1,0)</f>
        <v>15</v>
      </c>
      <c r="G26" s="79">
        <f ca="1">OFFSET(Members!J62,Members!$L$1,0)</f>
        <v>20</v>
      </c>
      <c r="J26" s="89">
        <f ca="1">SUM(L26*'Price of Tickets'!$I$32,M26*'Price of Tickets'!$I$33+F26+G26)</f>
        <v>95.1</v>
      </c>
      <c r="L26" s="94" t="b">
        <v>1</v>
      </c>
      <c r="M26" s="94" t="b">
        <v>1</v>
      </c>
    </row>
    <row r="27" spans="2:13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OFFSET(Members!J102,Members!$L$1,0)</f>
        <v>15</v>
      </c>
      <c r="G27" s="79">
        <f ca="1">OFFSET(Members!J63,Members!$L$1,0)</f>
        <v>20</v>
      </c>
      <c r="J27" s="89">
        <f ca="1">SUM(L27*'Price of Tickets'!$I$32,M27*'Price of Tickets'!$I$33+F27+G27)</f>
        <v>95.1</v>
      </c>
      <c r="L27" s="94" t="b">
        <v>1</v>
      </c>
      <c r="M27" s="94" t="b">
        <v>1</v>
      </c>
    </row>
    <row r="28" spans="2:13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OFFSET(Members!J103,Members!$L$1,0)</f>
        <v>10</v>
      </c>
      <c r="G28" s="79">
        <f ca="1">OFFSET(Members!J64,Members!$L$1,0)</f>
        <v>14.5</v>
      </c>
      <c r="J28" s="89">
        <f ca="1">SUM(L28*'Price of Tickets'!$H$60,M28*'Price of Tickets'!$H$61+F28+G28)</f>
        <v>78.59</v>
      </c>
      <c r="L28" s="94" t="b">
        <v>1</v>
      </c>
      <c r="M28" s="94" t="b">
        <v>1</v>
      </c>
    </row>
    <row r="29" spans="2:13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OFFSET(Members!J104,Members!$L$1,0)</f>
        <v>10</v>
      </c>
      <c r="G29" s="79">
        <f ca="1">OFFSET(Members!J65,Members!$L$1,0)</f>
        <v>14.5</v>
      </c>
      <c r="J29" s="89">
        <f ca="1">SUM(L29*'Price of Tickets'!$H$60,M29*'Price of Tickets'!$H$61+F29+G29)</f>
        <v>78.59</v>
      </c>
      <c r="L29" s="94" t="b">
        <v>1</v>
      </c>
      <c r="M29" s="94" t="b">
        <v>1</v>
      </c>
    </row>
    <row r="30" spans="2:13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OFFSET(Members!J105,Members!$L$1,0)</f>
        <v>15</v>
      </c>
      <c r="G30" s="79">
        <f ca="1">OFFSET(Members!J66,Members!$L$1,0)</f>
        <v>20</v>
      </c>
      <c r="J30" s="89">
        <f ca="1">SUM(L30*'Price of Tickets'!$I$32,M30*'Price of Tickets'!$I$33+F30+G30)</f>
        <v>95.1</v>
      </c>
      <c r="L30" s="94" t="b">
        <v>1</v>
      </c>
      <c r="M30" s="94" t="b">
        <v>1</v>
      </c>
    </row>
    <row r="31" spans="2:13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OFFSET(Members!J106,Members!$L$1,0)</f>
        <v>15</v>
      </c>
      <c r="G31" s="79">
        <f ca="1">OFFSET(Members!J67,Members!$L$1,0)</f>
        <v>20</v>
      </c>
      <c r="J31" s="89">
        <f ca="1">SUM(L31*'Price of Tickets'!$I$32,M31*'Price of Tickets'!$I$33+F31+G31)</f>
        <v>95.1</v>
      </c>
      <c r="L31" s="94" t="b">
        <v>1</v>
      </c>
      <c r="M31" s="94" t="b">
        <v>1</v>
      </c>
    </row>
    <row r="32" spans="2:13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OFFSET(Members!J107,Members!$L$1,0)</f>
        <v>15</v>
      </c>
      <c r="G32" s="79">
        <f ca="1">OFFSET(Members!J68,Members!$L$1,0)</f>
        <v>20</v>
      </c>
      <c r="J32" s="89">
        <f ca="1">SUM(L32*'Price of Tickets'!$I$32,M32*'Price of Tickets'!$I$33+F32+G32)</f>
        <v>95.1</v>
      </c>
      <c r="L32" s="94" t="b">
        <v>1</v>
      </c>
      <c r="M32" s="94" t="b">
        <v>1</v>
      </c>
    </row>
    <row r="33" spans="2:13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OFFSET(Members!J108,Members!$L$1,0)</f>
        <v>7.5</v>
      </c>
      <c r="G33" s="79">
        <f ca="1">OFFSET(Members!J69,Members!$L$1,0)</f>
        <v>11</v>
      </c>
      <c r="J33" s="91">
        <f ca="1">SUM(L33*'Price of Tickets'!$H$88,M33*'Price of Tickets'!$H$89+F33+G33)</f>
        <v>68.082499999999996</v>
      </c>
      <c r="L33" s="94" t="b">
        <v>1</v>
      </c>
      <c r="M33" s="94" t="b">
        <v>1</v>
      </c>
    </row>
    <row r="34" spans="2:13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OFFSET(Members!J109,Members!$L$1,0)</f>
        <v>7.5</v>
      </c>
      <c r="G34" s="79">
        <f ca="1">OFFSET(Members!J70,Members!$L$1,0)</f>
        <v>11</v>
      </c>
      <c r="J34" s="91">
        <f ca="1">SUM(L34*'Price of Tickets'!$H$88,M34*'Price of Tickets'!$H$89+F34+G34)</f>
        <v>68.082499999999996</v>
      </c>
      <c r="L34" s="94" t="b">
        <v>1</v>
      </c>
      <c r="M34" s="94" t="b">
        <v>1</v>
      </c>
    </row>
    <row r="35" spans="2:13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OFFSET(Members!J110,Members!$L$1,0)</f>
        <v>15</v>
      </c>
      <c r="G35" s="79">
        <f ca="1">OFFSET(Members!J71,Members!$L$1,0)</f>
        <v>20</v>
      </c>
      <c r="J35" s="89">
        <f ca="1">SUM(L35*'Price of Tickets'!$I$32,M35*'Price of Tickets'!$I$33+F35+G35)</f>
        <v>95.1</v>
      </c>
      <c r="L35" s="94" t="b">
        <v>1</v>
      </c>
      <c r="M35" s="94" t="b">
        <v>1</v>
      </c>
    </row>
    <row r="37" spans="2:13" ht="21">
      <c r="H37" s="102" t="s">
        <v>211</v>
      </c>
      <c r="J37" s="123">
        <f ca="1">SUM(J5:J35)</f>
        <v>2581.6349999999989</v>
      </c>
    </row>
    <row r="42" spans="2:13" ht="15.75" thickBot="1"/>
    <row r="43" spans="2:13" ht="16.5" thickTop="1" thickBot="1">
      <c r="B43" s="100" t="s">
        <v>284</v>
      </c>
      <c r="C43" s="99"/>
      <c r="D43" s="96" t="s">
        <v>285</v>
      </c>
      <c r="E43" s="97" t="s">
        <v>301</v>
      </c>
    </row>
    <row r="44" spans="2:13" ht="16.5" thickTop="1" thickBot="1">
      <c r="D44" s="96" t="s">
        <v>294</v>
      </c>
      <c r="E44" s="98"/>
    </row>
    <row r="45" spans="2:13" ht="16.5" thickTop="1" thickBot="1">
      <c r="D45" s="96" t="s">
        <v>288</v>
      </c>
      <c r="E45" s="97"/>
    </row>
    <row r="46" spans="2:13" ht="16.5" thickTop="1" thickBot="1">
      <c r="D46" s="96" t="s">
        <v>289</v>
      </c>
      <c r="E46" s="98"/>
    </row>
    <row r="47" spans="2:13" ht="16.5" thickTop="1" thickBot="1">
      <c r="D47" s="96" t="s">
        <v>290</v>
      </c>
      <c r="E47" s="98" t="s">
        <v>301</v>
      </c>
    </row>
    <row r="48" spans="2:13" ht="16.5" thickTop="1" thickBot="1">
      <c r="D48" s="96" t="s">
        <v>291</v>
      </c>
      <c r="E48" s="97"/>
    </row>
    <row r="49" spans="4:5" ht="16.5" thickTop="1" thickBot="1">
      <c r="D49" s="96" t="s">
        <v>295</v>
      </c>
      <c r="E49" s="97" t="s">
        <v>301</v>
      </c>
    </row>
    <row r="50" spans="4:5" ht="16.5" thickTop="1" thickBot="1">
      <c r="D50" s="96" t="s">
        <v>296</v>
      </c>
      <c r="E50" s="98" t="s">
        <v>301</v>
      </c>
    </row>
    <row r="51" spans="4:5" ht="16.5" thickTop="1" thickBot="1">
      <c r="D51" s="96" t="s">
        <v>297</v>
      </c>
      <c r="E51" s="98"/>
    </row>
    <row r="52" spans="4:5" ht="16.5" thickTop="1" thickBot="1">
      <c r="D52" s="96" t="s">
        <v>298</v>
      </c>
      <c r="E52" s="97" t="s">
        <v>301</v>
      </c>
    </row>
    <row r="53" spans="4:5" ht="16.5" thickTop="1" thickBot="1">
      <c r="D53" s="96" t="s">
        <v>299</v>
      </c>
      <c r="E53" s="97"/>
    </row>
    <row r="54" spans="4:5" ht="16.5" thickTop="1" thickBot="1">
      <c r="D54" s="96" t="s">
        <v>300</v>
      </c>
      <c r="E54" s="98" t="s">
        <v>301</v>
      </c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Check Box 1">
              <controlPr defaultSize="0" autoFill="0" autoLine="0" autoPict="0">
                <anchor moveWithCells="1">
                  <from>
                    <xdr:col>7</xdr:col>
                    <xdr:colOff>723900</xdr:colOff>
                    <xdr:row>6</xdr:row>
                    <xdr:rowOff>180975</xdr:rowOff>
                  </from>
                  <to>
                    <xdr:col>7</xdr:col>
                    <xdr:colOff>1114425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Check Box 2">
              <controlPr defaultSize="0" autoFill="0" autoLine="0" autoPict="0">
                <anchor moveWithCells="1">
                  <from>
                    <xdr:col>7</xdr:col>
                    <xdr:colOff>723900</xdr:colOff>
                    <xdr:row>7</xdr:row>
                    <xdr:rowOff>180975</xdr:rowOff>
                  </from>
                  <to>
                    <xdr:col>7</xdr:col>
                    <xdr:colOff>1038225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Check Box 3">
              <controlPr defaultSize="0" autoFill="0" autoLine="0" autoPict="0">
                <anchor moveWithCells="1">
                  <from>
                    <xdr:col>7</xdr:col>
                    <xdr:colOff>723900</xdr:colOff>
                    <xdr:row>8</xdr:row>
                    <xdr:rowOff>180975</xdr:rowOff>
                  </from>
                  <to>
                    <xdr:col>7</xdr:col>
                    <xdr:colOff>1038225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Check Box 4">
              <controlPr defaultSize="0" autoFill="0" autoLine="0" autoPict="0">
                <anchor moveWithCells="1">
                  <from>
                    <xdr:col>7</xdr:col>
                    <xdr:colOff>723900</xdr:colOff>
                    <xdr:row>9</xdr:row>
                    <xdr:rowOff>152400</xdr:rowOff>
                  </from>
                  <to>
                    <xdr:col>7</xdr:col>
                    <xdr:colOff>1038225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Check Box 5">
              <controlPr defaultSize="0" autoFill="0" autoLine="0" autoPict="0">
                <anchor moveWithCells="1">
                  <from>
                    <xdr:col>7</xdr:col>
                    <xdr:colOff>723900</xdr:colOff>
                    <xdr:row>10</xdr:row>
                    <xdr:rowOff>152400</xdr:rowOff>
                  </from>
                  <to>
                    <xdr:col>7</xdr:col>
                    <xdr:colOff>1057275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Check Box 6">
              <controlPr defaultSize="0" autoFill="0" autoLine="0" autoPict="0">
                <anchor moveWithCells="1">
                  <from>
                    <xdr:col>7</xdr:col>
                    <xdr:colOff>723900</xdr:colOff>
                    <xdr:row>11</xdr:row>
                    <xdr:rowOff>161925</xdr:rowOff>
                  </from>
                  <to>
                    <xdr:col>7</xdr:col>
                    <xdr:colOff>1066800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9" name="Check Box 7">
              <controlPr defaultSize="0" autoFill="0" autoLine="0" autoPict="0">
                <anchor moveWithCells="1">
                  <from>
                    <xdr:col>7</xdr:col>
                    <xdr:colOff>723900</xdr:colOff>
                    <xdr:row>12</xdr:row>
                    <xdr:rowOff>180975</xdr:rowOff>
                  </from>
                  <to>
                    <xdr:col>7</xdr:col>
                    <xdr:colOff>1028700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Check Box 8">
              <controlPr defaultSize="0" autoFill="0" autoLine="0" autoPict="0">
                <anchor moveWithCells="1">
                  <from>
                    <xdr:col>7</xdr:col>
                    <xdr:colOff>723900</xdr:colOff>
                    <xdr:row>13</xdr:row>
                    <xdr:rowOff>171450</xdr:rowOff>
                  </from>
                  <to>
                    <xdr:col>7</xdr:col>
                    <xdr:colOff>1038225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Check Box 9">
              <controlPr defaultSize="0" autoFill="0" autoLine="0" autoPict="0">
                <anchor moveWithCells="1">
                  <from>
                    <xdr:col>7</xdr:col>
                    <xdr:colOff>723900</xdr:colOff>
                    <xdr:row>14</xdr:row>
                    <xdr:rowOff>161925</xdr:rowOff>
                  </from>
                  <to>
                    <xdr:col>8</xdr:col>
                    <xdr:colOff>200025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Check Box 10">
              <controlPr defaultSize="0" autoFill="0" autoLine="0" autoPict="0">
                <anchor moveWithCells="1">
                  <from>
                    <xdr:col>7</xdr:col>
                    <xdr:colOff>723900</xdr:colOff>
                    <xdr:row>16</xdr:row>
                    <xdr:rowOff>0</xdr:rowOff>
                  </from>
                  <to>
                    <xdr:col>7</xdr:col>
                    <xdr:colOff>1057275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Check Box 11">
              <controlPr defaultSize="0" autoFill="0" autoLine="0" autoPict="0">
                <anchor moveWithCells="1">
                  <from>
                    <xdr:col>7</xdr:col>
                    <xdr:colOff>723900</xdr:colOff>
                    <xdr:row>16</xdr:row>
                    <xdr:rowOff>180975</xdr:rowOff>
                  </from>
                  <to>
                    <xdr:col>7</xdr:col>
                    <xdr:colOff>1085850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Check Box 12">
              <controlPr defaultSize="0" autoFill="0" autoLine="0" autoPict="0">
                <anchor moveWithCells="1">
                  <from>
                    <xdr:col>7</xdr:col>
                    <xdr:colOff>723900</xdr:colOff>
                    <xdr:row>17</xdr:row>
                    <xdr:rowOff>171450</xdr:rowOff>
                  </from>
                  <to>
                    <xdr:col>7</xdr:col>
                    <xdr:colOff>1057275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5" name="Check Box 13">
              <controlPr defaultSize="0" autoFill="0" autoLine="0" autoPict="0">
                <anchor moveWithCells="1">
                  <from>
                    <xdr:col>7</xdr:col>
                    <xdr:colOff>723900</xdr:colOff>
                    <xdr:row>18</xdr:row>
                    <xdr:rowOff>180975</xdr:rowOff>
                  </from>
                  <to>
                    <xdr:col>7</xdr:col>
                    <xdr:colOff>1028700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6" name="Check Box 14">
              <controlPr defaultSize="0" autoFill="0" autoLine="0" autoPict="0">
                <anchor moveWithCells="1">
                  <from>
                    <xdr:col>7</xdr:col>
                    <xdr:colOff>723900</xdr:colOff>
                    <xdr:row>20</xdr:row>
                    <xdr:rowOff>9525</xdr:rowOff>
                  </from>
                  <to>
                    <xdr:col>7</xdr:col>
                    <xdr:colOff>1000125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7" name="Check Box 15">
              <controlPr defaultSize="0" autoFill="0" autoLine="0" autoPict="0">
                <anchor moveWithCells="1">
                  <from>
                    <xdr:col>7</xdr:col>
                    <xdr:colOff>723900</xdr:colOff>
                    <xdr:row>20</xdr:row>
                    <xdr:rowOff>161925</xdr:rowOff>
                  </from>
                  <to>
                    <xdr:col>7</xdr:col>
                    <xdr:colOff>1028700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8" name="Check Box 16">
              <controlPr defaultSize="0" autoFill="0" autoLine="0" autoPict="0">
                <anchor moveWithCells="1">
                  <from>
                    <xdr:col>7</xdr:col>
                    <xdr:colOff>723900</xdr:colOff>
                    <xdr:row>21</xdr:row>
                    <xdr:rowOff>161925</xdr:rowOff>
                  </from>
                  <to>
                    <xdr:col>7</xdr:col>
                    <xdr:colOff>1057275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19" name="Check Box 17">
              <controlPr defaultSize="0" autoFill="0" autoLine="0" autoPict="0">
                <anchor moveWithCells="1">
                  <from>
                    <xdr:col>7</xdr:col>
                    <xdr:colOff>723900</xdr:colOff>
                    <xdr:row>22</xdr:row>
                    <xdr:rowOff>161925</xdr:rowOff>
                  </from>
                  <to>
                    <xdr:col>7</xdr:col>
                    <xdr:colOff>1057275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0" name="Check Box 18">
              <controlPr defaultSize="0" autoFill="0" autoLine="0" autoPict="0">
                <anchor moveWithCells="1">
                  <from>
                    <xdr:col>7</xdr:col>
                    <xdr:colOff>723900</xdr:colOff>
                    <xdr:row>23</xdr:row>
                    <xdr:rowOff>180975</xdr:rowOff>
                  </from>
                  <to>
                    <xdr:col>7</xdr:col>
                    <xdr:colOff>1057275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1" name="Check Box 19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171450</xdr:rowOff>
                  </from>
                  <to>
                    <xdr:col>7</xdr:col>
                    <xdr:colOff>1038225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2" name="Check Box 20">
              <controlPr defaultSize="0" autoFill="0" autoLine="0" autoPict="0">
                <anchor moveWithCells="1">
                  <from>
                    <xdr:col>7</xdr:col>
                    <xdr:colOff>723900</xdr:colOff>
                    <xdr:row>25</xdr:row>
                    <xdr:rowOff>180975</xdr:rowOff>
                  </from>
                  <to>
                    <xdr:col>7</xdr:col>
                    <xdr:colOff>1019175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3" name="Check Box 21">
              <controlPr defaultSize="0" autoFill="0" autoLine="0" autoPict="0">
                <anchor moveWithCells="1">
                  <from>
                    <xdr:col>7</xdr:col>
                    <xdr:colOff>723900</xdr:colOff>
                    <xdr:row>5</xdr:row>
                    <xdr:rowOff>180975</xdr:rowOff>
                  </from>
                  <to>
                    <xdr:col>7</xdr:col>
                    <xdr:colOff>1152525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4" name="Check Box 22">
              <controlPr defaultSize="0" autoFill="0" autoLine="0" autoPict="0">
                <anchor moveWithCells="1">
                  <from>
                    <xdr:col>7</xdr:col>
                    <xdr:colOff>723900</xdr:colOff>
                    <xdr:row>4</xdr:row>
                    <xdr:rowOff>161925</xdr:rowOff>
                  </from>
                  <to>
                    <xdr:col>7</xdr:col>
                    <xdr:colOff>1123950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5" name="Check Box 23">
              <controlPr defaultSize="0" autoFill="0" autoLine="0" autoPict="0">
                <anchor moveWithCells="1">
                  <from>
                    <xdr:col>8</xdr:col>
                    <xdr:colOff>447675</xdr:colOff>
                    <xdr:row>5</xdr:row>
                    <xdr:rowOff>171450</xdr:rowOff>
                  </from>
                  <to>
                    <xdr:col>8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6" name="Check Box 24">
              <controlPr defaultSize="0" autoFill="0" autoLine="0" autoPict="0">
                <anchor moveWithCells="1">
                  <from>
                    <xdr:col>8</xdr:col>
                    <xdr:colOff>447675</xdr:colOff>
                    <xdr:row>6</xdr:row>
                    <xdr:rowOff>180975</xdr:rowOff>
                  </from>
                  <to>
                    <xdr:col>8</xdr:col>
                    <xdr:colOff>914400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7" name="Check Box 25">
              <controlPr defaultSize="0" autoFill="0" autoLine="0" autoPict="0">
                <anchor moveWithCells="1">
                  <from>
                    <xdr:col>8</xdr:col>
                    <xdr:colOff>447675</xdr:colOff>
                    <xdr:row>7</xdr:row>
                    <xdr:rowOff>171450</xdr:rowOff>
                  </from>
                  <to>
                    <xdr:col>8</xdr:col>
                    <xdr:colOff>914400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8" name="Check Box 26">
              <controlPr defaultSize="0" autoFill="0" autoLine="0" autoPict="0">
                <anchor moveWithCells="1">
                  <from>
                    <xdr:col>8</xdr:col>
                    <xdr:colOff>447675</xdr:colOff>
                    <xdr:row>9</xdr:row>
                    <xdr:rowOff>0</xdr:rowOff>
                  </from>
                  <to>
                    <xdr:col>8</xdr:col>
                    <xdr:colOff>914400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29" name="Check Box 27">
              <controlPr defaultSize="0" autoFill="0" autoLine="0" autoPict="0">
                <anchor moveWithCells="1">
                  <from>
                    <xdr:col>8</xdr:col>
                    <xdr:colOff>447675</xdr:colOff>
                    <xdr:row>10</xdr:row>
                    <xdr:rowOff>180975</xdr:rowOff>
                  </from>
                  <to>
                    <xdr:col>8</xdr:col>
                    <xdr:colOff>914400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0" name="Check Box 28">
              <controlPr defaultSize="0" autoFill="0" autoLine="0" autoPict="0">
                <anchor moveWithCells="1">
                  <from>
                    <xdr:col>8</xdr:col>
                    <xdr:colOff>447675</xdr:colOff>
                    <xdr:row>11</xdr:row>
                    <xdr:rowOff>180975</xdr:rowOff>
                  </from>
                  <to>
                    <xdr:col>8</xdr:col>
                    <xdr:colOff>914400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1" name="Check Box 29">
              <controlPr defaultSize="0" autoFill="0" autoLine="0" autoPict="0">
                <anchor moveWithCells="1">
                  <from>
                    <xdr:col>8</xdr:col>
                    <xdr:colOff>447675</xdr:colOff>
                    <xdr:row>12</xdr:row>
                    <xdr:rowOff>171450</xdr:rowOff>
                  </from>
                  <to>
                    <xdr:col>8</xdr:col>
                    <xdr:colOff>914400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2" name="Check Box 30">
              <controlPr defaultSize="0" autoFill="0" autoLine="0" autoPict="0">
                <anchor moveWithCells="1">
                  <from>
                    <xdr:col>8</xdr:col>
                    <xdr:colOff>447675</xdr:colOff>
                    <xdr:row>13</xdr:row>
                    <xdr:rowOff>180975</xdr:rowOff>
                  </from>
                  <to>
                    <xdr:col>8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3" name="Check Box 31">
              <controlPr defaultSize="0" autoFill="0" autoLine="0" autoPict="0">
                <anchor moveWithCells="1">
                  <from>
                    <xdr:col>8</xdr:col>
                    <xdr:colOff>447675</xdr:colOff>
                    <xdr:row>14</xdr:row>
                    <xdr:rowOff>161925</xdr:rowOff>
                  </from>
                  <to>
                    <xdr:col>8</xdr:col>
                    <xdr:colOff>914400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4" name="Check Box 32">
              <controlPr defaultSize="0" autoFill="0" autoLine="0" autoPict="0">
                <anchor moveWithCells="1">
                  <from>
                    <xdr:col>8</xdr:col>
                    <xdr:colOff>447675</xdr:colOff>
                    <xdr:row>15</xdr:row>
                    <xdr:rowOff>161925</xdr:rowOff>
                  </from>
                  <to>
                    <xdr:col>8</xdr:col>
                    <xdr:colOff>914400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5" name="Check Box 33">
              <controlPr defaultSize="0" autoFill="0" autoLine="0" autoPict="0">
                <anchor moveWithCells="1">
                  <from>
                    <xdr:col>8</xdr:col>
                    <xdr:colOff>447675</xdr:colOff>
                    <xdr:row>17</xdr:row>
                    <xdr:rowOff>0</xdr:rowOff>
                  </from>
                  <to>
                    <xdr:col>8</xdr:col>
                    <xdr:colOff>914400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6" name="Check Box 34">
              <controlPr defaultSize="0" autoFill="0" autoLine="0" autoPict="0">
                <anchor moveWithCells="1">
                  <from>
                    <xdr:col>8</xdr:col>
                    <xdr:colOff>447675</xdr:colOff>
                    <xdr:row>17</xdr:row>
                    <xdr:rowOff>180975</xdr:rowOff>
                  </from>
                  <to>
                    <xdr:col>8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7" name="Check Box 35">
              <controlPr defaultSize="0" autoFill="0" autoLine="0" autoPict="0">
                <anchor moveWithCells="1">
                  <from>
                    <xdr:col>8</xdr:col>
                    <xdr:colOff>447675</xdr:colOff>
                    <xdr:row>18</xdr:row>
                    <xdr:rowOff>171450</xdr:rowOff>
                  </from>
                  <to>
                    <xdr:col>8</xdr:col>
                    <xdr:colOff>914400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8" name="Check Box 36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161925</xdr:rowOff>
                  </from>
                  <to>
                    <xdr:col>8</xdr:col>
                    <xdr:colOff>914400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39" name="Check Box 37">
              <controlPr defaultSize="0" autoFill="0" autoLine="0" autoPict="0">
                <anchor moveWithCells="1">
                  <from>
                    <xdr:col>8</xdr:col>
                    <xdr:colOff>447675</xdr:colOff>
                    <xdr:row>20</xdr:row>
                    <xdr:rowOff>171450</xdr:rowOff>
                  </from>
                  <to>
                    <xdr:col>8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0" name="Check Box 38">
              <controlPr defaultSize="0" autoFill="0" autoLine="0" autoPict="0">
                <anchor moveWithCells="1">
                  <from>
                    <xdr:col>8</xdr:col>
                    <xdr:colOff>447675</xdr:colOff>
                    <xdr:row>21</xdr:row>
                    <xdr:rowOff>161925</xdr:rowOff>
                  </from>
                  <to>
                    <xdr:col>8</xdr:col>
                    <xdr:colOff>914400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1" name="Check Box 39">
              <controlPr defaultSize="0" autoFill="0" autoLine="0" autoPict="0">
                <anchor moveWithCells="1">
                  <from>
                    <xdr:col>8</xdr:col>
                    <xdr:colOff>447675</xdr:colOff>
                    <xdr:row>22</xdr:row>
                    <xdr:rowOff>161925</xdr:rowOff>
                  </from>
                  <to>
                    <xdr:col>8</xdr:col>
                    <xdr:colOff>914400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2" name="Check Box 40">
              <controlPr defaultSize="0" autoFill="0" autoLine="0" autoPict="0">
                <anchor moveWithCells="1">
                  <from>
                    <xdr:col>8</xdr:col>
                    <xdr:colOff>447675</xdr:colOff>
                    <xdr:row>23</xdr:row>
                    <xdr:rowOff>161925</xdr:rowOff>
                  </from>
                  <to>
                    <xdr:col>8</xdr:col>
                    <xdr:colOff>914400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3" name="Check Box 41">
              <controlPr defaultSize="0" autoFill="0" autoLine="0" autoPict="0">
                <anchor moveWithCells="1">
                  <from>
                    <xdr:col>8</xdr:col>
                    <xdr:colOff>447675</xdr:colOff>
                    <xdr:row>25</xdr:row>
                    <xdr:rowOff>0</xdr:rowOff>
                  </from>
                  <to>
                    <xdr:col>8</xdr:col>
                    <xdr:colOff>914400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4" r:id="rId44" name="Check Box 42">
              <controlPr defaultSize="0" autoFill="0" autoLine="0" autoPict="0">
                <anchor moveWithCells="1">
                  <from>
                    <xdr:col>8</xdr:col>
                    <xdr:colOff>447675</xdr:colOff>
                    <xdr:row>26</xdr:row>
                    <xdr:rowOff>9525</xdr:rowOff>
                  </from>
                  <to>
                    <xdr:col>8</xdr:col>
                    <xdr:colOff>914400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5" r:id="rId45" name="Check Box 43">
              <controlPr defaultSize="0" autoFill="0" autoLine="0" autoPict="0">
                <anchor moveWithCells="1">
                  <from>
                    <xdr:col>8</xdr:col>
                    <xdr:colOff>447675</xdr:colOff>
                    <xdr:row>4</xdr:row>
                    <xdr:rowOff>171450</xdr:rowOff>
                  </from>
                  <to>
                    <xdr:col>8</xdr:col>
                    <xdr:colOff>962025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r:id="rId46" name="Check Box 44">
              <controlPr defaultSize="0" autoFill="0" autoLine="0" autoPict="0">
                <anchor moveWithCells="1">
                  <from>
                    <xdr:col>8</xdr:col>
                    <xdr:colOff>447675</xdr:colOff>
                    <xdr:row>3</xdr:row>
                    <xdr:rowOff>161925</xdr:rowOff>
                  </from>
                  <to>
                    <xdr:col>8</xdr:col>
                    <xdr:colOff>1085850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7" r:id="rId47" name="Check Box 45">
              <controlPr defaultSize="0" autoFill="0" autoLine="0" autoPict="0">
                <anchor moveWithCells="1">
                  <from>
                    <xdr:col>7</xdr:col>
                    <xdr:colOff>723900</xdr:colOff>
                    <xdr:row>3</xdr:row>
                    <xdr:rowOff>161925</xdr:rowOff>
                  </from>
                  <to>
                    <xdr:col>7</xdr:col>
                    <xdr:colOff>1123950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8" r:id="rId48" name="Check Box 46">
              <controlPr defaultSize="0" autoFill="0" autoLine="0" autoPict="0">
                <anchor moveWithCells="1">
                  <from>
                    <xdr:col>8</xdr:col>
                    <xdr:colOff>447675</xdr:colOff>
                    <xdr:row>9</xdr:row>
                    <xdr:rowOff>171450</xdr:rowOff>
                  </from>
                  <to>
                    <xdr:col>8</xdr:col>
                    <xdr:colOff>914400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9" r:id="rId49" name="Check Box 47">
              <controlPr defaultSize="0" autoFill="0" autoLine="0" autoPict="0">
                <anchor moveWithCells="1">
                  <from>
                    <xdr:col>7</xdr:col>
                    <xdr:colOff>714375</xdr:colOff>
                    <xdr:row>27</xdr:row>
                    <xdr:rowOff>28575</xdr:rowOff>
                  </from>
                  <to>
                    <xdr:col>7</xdr:col>
                    <xdr:colOff>990600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50" name="Check Box 48">
              <controlPr defaultSize="0" autoFill="0" autoLine="0" autoPict="0">
                <anchor moveWithCells="1">
                  <from>
                    <xdr:col>7</xdr:col>
                    <xdr:colOff>704850</xdr:colOff>
                    <xdr:row>28</xdr:row>
                    <xdr:rowOff>9525</xdr:rowOff>
                  </from>
                  <to>
                    <xdr:col>7</xdr:col>
                    <xdr:colOff>1009650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1" r:id="rId51" name="Check Box 49">
              <controlPr defaultSize="0" autoFill="0" autoLine="0" autoPict="0">
                <anchor moveWithCells="1">
                  <from>
                    <xdr:col>7</xdr:col>
                    <xdr:colOff>714375</xdr:colOff>
                    <xdr:row>28</xdr:row>
                    <xdr:rowOff>180975</xdr:rowOff>
                  </from>
                  <to>
                    <xdr:col>7</xdr:col>
                    <xdr:colOff>1047750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52" name="Check Box 50">
              <controlPr defaultSize="0" autoFill="0" autoLine="0" autoPict="0">
                <anchor moveWithCells="1">
                  <from>
                    <xdr:col>7</xdr:col>
                    <xdr:colOff>714375</xdr:colOff>
                    <xdr:row>29</xdr:row>
                    <xdr:rowOff>180975</xdr:rowOff>
                  </from>
                  <to>
                    <xdr:col>7</xdr:col>
                    <xdr:colOff>1047750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r:id="rId53" name="Check Box 51">
              <controlPr defaultSize="0" autoFill="0" autoLine="0" autoPict="0">
                <anchor moveWithCells="1">
                  <from>
                    <xdr:col>7</xdr:col>
                    <xdr:colOff>714375</xdr:colOff>
                    <xdr:row>31</xdr:row>
                    <xdr:rowOff>9525</xdr:rowOff>
                  </from>
                  <to>
                    <xdr:col>7</xdr:col>
                    <xdr:colOff>1047750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r:id="rId54" name="Check Box 52">
              <controlPr defaultSize="0" autoFill="0" autoLine="0" autoPict="0">
                <anchor moveWithCells="1">
                  <from>
                    <xdr:col>7</xdr:col>
                    <xdr:colOff>714375</xdr:colOff>
                    <xdr:row>32</xdr:row>
                    <xdr:rowOff>0</xdr:rowOff>
                  </from>
                  <to>
                    <xdr:col>7</xdr:col>
                    <xdr:colOff>1028700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r:id="rId55" name="Check Box 53">
              <controlPr defaultSize="0" autoFill="0" autoLine="0" autoPict="0">
                <anchor moveWithCells="1">
                  <from>
                    <xdr:col>7</xdr:col>
                    <xdr:colOff>714375</xdr:colOff>
                    <xdr:row>32</xdr:row>
                    <xdr:rowOff>180975</xdr:rowOff>
                  </from>
                  <to>
                    <xdr:col>7</xdr:col>
                    <xdr:colOff>1009650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6" r:id="rId56" name="Check Box 54">
              <controlPr defaultSize="0" autoFill="0" autoLine="0" autoPict="0">
                <anchor moveWithCells="1">
                  <from>
                    <xdr:col>8</xdr:col>
                    <xdr:colOff>438150</xdr:colOff>
                    <xdr:row>26</xdr:row>
                    <xdr:rowOff>180975</xdr:rowOff>
                  </from>
                  <to>
                    <xdr:col>8</xdr:col>
                    <xdr:colOff>904875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7" r:id="rId57" name="Check Box 55">
              <controlPr defaultSize="0" autoFill="0" autoLine="0" autoPict="0">
                <anchor moveWithCells="1">
                  <from>
                    <xdr:col>8</xdr:col>
                    <xdr:colOff>438150</xdr:colOff>
                    <xdr:row>28</xdr:row>
                    <xdr:rowOff>0</xdr:rowOff>
                  </from>
                  <to>
                    <xdr:col>8</xdr:col>
                    <xdr:colOff>904875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8" r:id="rId58" name="Check Box 56">
              <controlPr defaultSize="0" autoFill="0" autoLine="0" autoPict="0">
                <anchor moveWithCells="1">
                  <from>
                    <xdr:col>8</xdr:col>
                    <xdr:colOff>438150</xdr:colOff>
                    <xdr:row>28</xdr:row>
                    <xdr:rowOff>180975</xdr:rowOff>
                  </from>
                  <to>
                    <xdr:col>8</xdr:col>
                    <xdr:colOff>904875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9" r:id="rId59" name="Check Box 57">
              <controlPr defaultSize="0" autoFill="0" autoLine="0" autoPict="0">
                <anchor moveWithCells="1">
                  <from>
                    <xdr:col>8</xdr:col>
                    <xdr:colOff>438150</xdr:colOff>
                    <xdr:row>29</xdr:row>
                    <xdr:rowOff>180975</xdr:rowOff>
                  </from>
                  <to>
                    <xdr:col>8</xdr:col>
                    <xdr:colOff>904875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0" r:id="rId60" name="Check Box 58">
              <controlPr defaultSize="0" autoFill="0" autoLine="0" autoPict="0">
                <anchor moveWithCells="1">
                  <from>
                    <xdr:col>8</xdr:col>
                    <xdr:colOff>438150</xdr:colOff>
                    <xdr:row>30</xdr:row>
                    <xdr:rowOff>180975</xdr:rowOff>
                  </from>
                  <to>
                    <xdr:col>8</xdr:col>
                    <xdr:colOff>904875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1" r:id="rId61" name="Check Box 59">
              <controlPr defaultSize="0" autoFill="0" autoLine="0" autoPict="0">
                <anchor moveWithCells="1">
                  <from>
                    <xdr:col>8</xdr:col>
                    <xdr:colOff>438150</xdr:colOff>
                    <xdr:row>32</xdr:row>
                    <xdr:rowOff>0</xdr:rowOff>
                  </from>
                  <to>
                    <xdr:col>8</xdr:col>
                    <xdr:colOff>904875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2" r:id="rId62" name="Check Box 60">
              <controlPr defaultSize="0" autoFill="0" autoLine="0" autoPict="0">
                <anchor moveWithCells="1">
                  <from>
                    <xdr:col>8</xdr:col>
                    <xdr:colOff>438150</xdr:colOff>
                    <xdr:row>33</xdr:row>
                    <xdr:rowOff>9525</xdr:rowOff>
                  </from>
                  <to>
                    <xdr:col>8</xdr:col>
                    <xdr:colOff>904875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3" r:id="rId63" name="Check Box 61">
              <controlPr defaultSize="0" autoFill="0" autoLine="0" autoPict="0">
                <anchor moveWithCells="1">
                  <from>
                    <xdr:col>7</xdr:col>
                    <xdr:colOff>714375</xdr:colOff>
                    <xdr:row>33</xdr:row>
                    <xdr:rowOff>161925</xdr:rowOff>
                  </from>
                  <to>
                    <xdr:col>7</xdr:col>
                    <xdr:colOff>1009650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4" r:id="rId64" name="Check Box 62">
              <controlPr defaultSize="0" autoFill="0" autoLine="0" autoPict="0">
                <anchor moveWithCells="1">
                  <from>
                    <xdr:col>8</xdr:col>
                    <xdr:colOff>438150</xdr:colOff>
                    <xdr:row>33</xdr:row>
                    <xdr:rowOff>180975</xdr:rowOff>
                  </from>
                  <to>
                    <xdr:col>8</xdr:col>
                    <xdr:colOff>904875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5" r:id="rId65" name="Button 63">
              <controlPr defaultSize="0" print="0" autoFill="0" autoPict="0" macro="[0]!Button63_Click">
                <anchor moveWithCells="1" sizeWithCells="1">
                  <from>
                    <xdr:col>11</xdr:col>
                    <xdr:colOff>0</xdr:colOff>
                    <xdr:row>0</xdr:row>
                    <xdr:rowOff>114300</xdr:rowOff>
                  </from>
                  <to>
                    <xdr:col>13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:N55"/>
  <sheetViews>
    <sheetView workbookViewId="0">
      <selection activeCell="E4" sqref="E4"/>
    </sheetView>
  </sheetViews>
  <sheetFormatPr defaultRowHeight="15"/>
  <cols>
    <col min="2" max="2" width="11.7109375" customWidth="1"/>
    <col min="3" max="3" width="19.140625" customWidth="1"/>
    <col min="4" max="4" width="17.28515625" customWidth="1"/>
    <col min="5" max="5" width="19.42578125" customWidth="1"/>
    <col min="6" max="6" width="16.28515625" customWidth="1"/>
    <col min="7" max="7" width="20.140625" customWidth="1"/>
    <col min="8" max="8" width="26.5703125" customWidth="1"/>
    <col min="9" max="9" width="16.85546875" customWidth="1"/>
    <col min="10" max="10" width="28" customWidth="1"/>
    <col min="11" max="11" width="18.28515625" customWidth="1"/>
  </cols>
  <sheetData>
    <row r="1" spans="2:14" ht="23.25">
      <c r="B1" s="87" t="s">
        <v>280</v>
      </c>
    </row>
    <row r="4" spans="2:14">
      <c r="C4" s="45" t="s">
        <v>42</v>
      </c>
      <c r="D4" s="45" t="s">
        <v>39</v>
      </c>
      <c r="E4" s="45" t="s">
        <v>329</v>
      </c>
      <c r="F4" s="45" t="s">
        <v>261</v>
      </c>
      <c r="G4" s="45" t="s">
        <v>262</v>
      </c>
      <c r="H4" s="32" t="s">
        <v>233</v>
      </c>
      <c r="I4" s="32" t="s">
        <v>234</v>
      </c>
      <c r="J4" s="32" t="s">
        <v>235</v>
      </c>
      <c r="K4" s="32" t="s">
        <v>6</v>
      </c>
    </row>
    <row r="5" spans="2:14">
      <c r="B5" t="str">
        <f ca="1">OFFSET(Members!B1,Members!$L$1,0)</f>
        <v>Mr</v>
      </c>
      <c r="C5" t="str">
        <f ca="1">OFFSET(Members!C1,Members!$L$1,0)</f>
        <v>Phile Peterson</v>
      </c>
      <c r="D5" s="44">
        <f ca="1">OFFSET(Members!D1,Members!$L$1,0)</f>
        <v>30</v>
      </c>
      <c r="E5" s="43" t="str">
        <f ca="1">OFFSET(Members!E1,Members!$L$1,0)</f>
        <v>Adult</v>
      </c>
      <c r="F5" s="79">
        <f ca="1">OFFSET(Members!K80,Members!$L$1,0)</f>
        <v>15</v>
      </c>
      <c r="G5" s="79">
        <f ca="1">OFFSET(Members!K41,Members!$L$1,0)</f>
        <v>20</v>
      </c>
      <c r="K5" s="89">
        <f ca="1">SUM(L5*'Price of Tickets'!$I$34,M5*'Price of Tickets'!$I$35,N5*'Price of Tickets'!$I$36+F5+G5)</f>
        <v>96.5</v>
      </c>
      <c r="L5" s="94" t="b">
        <v>1</v>
      </c>
      <c r="M5" s="94" t="b">
        <v>1</v>
      </c>
      <c r="N5" s="94" t="b">
        <v>1</v>
      </c>
    </row>
    <row r="6" spans="2:14">
      <c r="B6" t="str">
        <f ca="1">OFFSET(Members!B2,Members!$L$1,0)</f>
        <v>Miss</v>
      </c>
      <c r="C6" t="str">
        <f ca="1">OFFSET(Members!C2,Members!$L$1,0)</f>
        <v>Kyle Harrison</v>
      </c>
      <c r="D6" s="44">
        <f ca="1">OFFSET(Members!D2,Members!$L$1,0)</f>
        <v>12</v>
      </c>
      <c r="E6" s="43" t="str">
        <f ca="1">OFFSET(Members!E2,Members!$L$1,0)</f>
        <v>Child</v>
      </c>
      <c r="F6" s="79">
        <f ca="1">OFFSET(Members!K81,Members!$L$1,0)</f>
        <v>5</v>
      </c>
      <c r="G6" s="79">
        <f ca="1">OFFSET(Members!K42,Members!$L$1,0)</f>
        <v>7.4</v>
      </c>
      <c r="K6" s="89">
        <f ca="1">SUM(L6*'Price of Tickets'!$I$127,M6*'Price of Tickets'!$I$128,N6*'Price of Tickets'!$I$129+F6+G6)</f>
        <v>43.15</v>
      </c>
      <c r="L6" s="94" t="b">
        <v>1</v>
      </c>
      <c r="M6" s="94" t="b">
        <v>1</v>
      </c>
      <c r="N6" s="94" t="b">
        <v>1</v>
      </c>
    </row>
    <row r="7" spans="2:14">
      <c r="B7" t="str">
        <f ca="1">OFFSET(Members!B3,Members!$L$1,0)</f>
        <v>Mrs</v>
      </c>
      <c r="C7" t="str">
        <f ca="1">OFFSET(Members!C3,Members!$L$1,0)</f>
        <v>Renae Sinclair  </v>
      </c>
      <c r="D7" s="44">
        <f ca="1">OFFSET(Members!D3,Members!$L$1,0)</f>
        <v>24</v>
      </c>
      <c r="E7" s="43" t="str">
        <f ca="1">OFFSET(Members!E3,Members!$L$1,0)</f>
        <v>Adult</v>
      </c>
      <c r="F7" s="79">
        <f ca="1">OFFSET(Members!K82,Members!$L$1,0)</f>
        <v>15</v>
      </c>
      <c r="G7" s="79">
        <f ca="1">OFFSET(Members!K43,Members!$L$1,0)</f>
        <v>20</v>
      </c>
      <c r="K7" s="89">
        <f ca="1">SUM(L7*'Price of Tickets'!$I$34,M7*'Price of Tickets'!$I$35,N7*'Price of Tickets'!$I$36+F7+G7)</f>
        <v>96.5</v>
      </c>
      <c r="L7" s="94" t="b">
        <v>1</v>
      </c>
      <c r="M7" s="94" t="b">
        <v>1</v>
      </c>
      <c r="N7" s="94" t="b">
        <v>1</v>
      </c>
    </row>
    <row r="8" spans="2:14">
      <c r="B8" t="str">
        <f ca="1">OFFSET(Members!B4,Members!$L$1,0)</f>
        <v>Mr</v>
      </c>
      <c r="C8" t="str">
        <f ca="1">OFFSET(Members!C4,Members!$L$1,0)</f>
        <v xml:space="preserve">Reggie Touchet </v>
      </c>
      <c r="D8" s="44">
        <f ca="1">OFFSET(Members!D4,Members!$L$1,0)</f>
        <v>80</v>
      </c>
      <c r="E8" s="43" t="str">
        <f ca="1">OFFSET(Members!E4,Members!$L$1,0)</f>
        <v>Senior/Benefits</v>
      </c>
      <c r="F8" s="79">
        <f ca="1">OFFSET(Members!K83,Members!$L$1,0)</f>
        <v>7.5</v>
      </c>
      <c r="G8" s="79">
        <f ca="1">OFFSET(Members!K44,Members!$L$1,0)</f>
        <v>11</v>
      </c>
      <c r="K8" s="89">
        <f ca="1">SUM(L8*'Price of Tickets'!$H$90,M8*'Price of Tickets'!$H$91,N8*'Price of Tickets'!$H$92+F8+G8)</f>
        <v>69.237499999999997</v>
      </c>
      <c r="L8" s="94" t="b">
        <v>1</v>
      </c>
      <c r="M8" s="94" t="b">
        <v>1</v>
      </c>
      <c r="N8" s="94" t="b">
        <v>1</v>
      </c>
    </row>
    <row r="9" spans="2:14">
      <c r="B9" t="str">
        <f ca="1">OFFSET(Members!B5,Members!$L$1,0)</f>
        <v>Miss</v>
      </c>
      <c r="C9" t="str">
        <f ca="1">OFFSET(Members!C5,Members!$L$1,0)</f>
        <v>Cassidy Ines</v>
      </c>
      <c r="D9" s="44">
        <f ca="1">OFFSET(Members!D5,Members!$L$1,0)</f>
        <v>23</v>
      </c>
      <c r="E9" s="43" t="str">
        <f ca="1">OFFSET(Members!E5,Members!$L$1,0)</f>
        <v>Adult</v>
      </c>
      <c r="F9" s="79">
        <f ca="1">OFFSET(Members!K84,Members!$L$1,0)</f>
        <v>15</v>
      </c>
      <c r="G9" s="79">
        <f ca="1">OFFSET(Members!K45,Members!$L$1,0)</f>
        <v>20</v>
      </c>
      <c r="K9" s="89">
        <f ca="1">SUM(L9*'Price of Tickets'!$I$34,M9*'Price of Tickets'!$I$35,N9*'Price of Tickets'!$I$36+F9+G9)</f>
        <v>96.5</v>
      </c>
      <c r="L9" s="94" t="b">
        <v>1</v>
      </c>
      <c r="M9" s="94" t="b">
        <v>1</v>
      </c>
      <c r="N9" s="94" t="b">
        <v>1</v>
      </c>
    </row>
    <row r="10" spans="2:14">
      <c r="B10" t="str">
        <f ca="1">OFFSET(Members!B6,Members!$L$1,0)</f>
        <v>Mrs</v>
      </c>
      <c r="C10" t="str">
        <f ca="1">OFFSET(Members!C6,Members!$L$1,0)</f>
        <v>Nakesha Parsley</v>
      </c>
      <c r="D10" s="44">
        <f ca="1">OFFSET(Members!D6,Members!$L$1,0)</f>
        <v>12</v>
      </c>
      <c r="E10" s="43" t="str">
        <f ca="1">OFFSET(Members!E6,Members!$L$1,0)</f>
        <v>Child</v>
      </c>
      <c r="F10" s="79">
        <f ca="1">OFFSET(Members!K85,Members!$L$1,0)</f>
        <v>5</v>
      </c>
      <c r="G10" s="79">
        <f ca="1">OFFSET(Members!K46,Members!$L$1,0)</f>
        <v>7.4</v>
      </c>
      <c r="K10" s="89">
        <f ca="1">SUM(L10*'Price of Tickets'!$I$127,M10*'Price of Tickets'!$I$128,N10*'Price of Tickets'!$I$129+F10+G10)</f>
        <v>43.15</v>
      </c>
      <c r="L10" s="94" t="b">
        <v>1</v>
      </c>
      <c r="M10" s="94" t="b">
        <v>1</v>
      </c>
      <c r="N10" s="94" t="b">
        <v>1</v>
      </c>
    </row>
    <row r="11" spans="2:14">
      <c r="B11" t="str">
        <f ca="1">OFFSET(Members!B7,Members!$L$1,0)</f>
        <v>Mr</v>
      </c>
      <c r="C11" t="str">
        <f ca="1">OFFSET(Members!C7,Members!$L$1,0)</f>
        <v>Joel Hasse</v>
      </c>
      <c r="D11" s="44">
        <f ca="1">OFFSET(Members!D7,Members!$L$1,0)</f>
        <v>18</v>
      </c>
      <c r="E11" s="43" t="str">
        <f ca="1">OFFSET(Members!E7,Members!$L$1,0)</f>
        <v>Student</v>
      </c>
      <c r="F11" s="79">
        <f ca="1">OFFSET(Members!K86,Members!$L$1,0)</f>
        <v>10</v>
      </c>
      <c r="G11" s="79">
        <f ca="1">OFFSET(Members!K47,Members!$L$1,0)</f>
        <v>14.5</v>
      </c>
      <c r="K11" s="89">
        <f ca="1">SUM(L11*'Price of Tickets'!$H$62,M11*'Price of Tickets'!$H$63,N11*'Price of Tickets'!$H$64+F11+G11)</f>
        <v>79.849999999999994</v>
      </c>
      <c r="L11" s="94" t="b">
        <v>1</v>
      </c>
      <c r="M11" s="94" t="b">
        <v>1</v>
      </c>
      <c r="N11" s="94" t="b">
        <v>1</v>
      </c>
    </row>
    <row r="12" spans="2:14">
      <c r="B12" t="str">
        <f ca="1">OFFSET(Members!B8,Members!$L$1,0)</f>
        <v>Miss</v>
      </c>
      <c r="C12" t="str">
        <f ca="1">OFFSET(Members!C8,Members!$L$1,0)</f>
        <v>Laci Soria  </v>
      </c>
      <c r="D12" s="44">
        <f ca="1">OFFSET(Members!D8,Members!$L$1,0)</f>
        <v>18</v>
      </c>
      <c r="E12" s="43" t="str">
        <f ca="1">OFFSET(Members!E8,Members!$L$1,0)</f>
        <v>Student</v>
      </c>
      <c r="F12" s="79">
        <f ca="1">OFFSET(Members!K87,Members!$L$1,0)</f>
        <v>10</v>
      </c>
      <c r="G12" s="79">
        <f ca="1">OFFSET(Members!K48,Members!$L$1,0)</f>
        <v>14.5</v>
      </c>
      <c r="K12" s="89">
        <f ca="1">SUM(L12*'Price of Tickets'!$H$62,M12*'Price of Tickets'!$H$63,N12*'Price of Tickets'!$H$64+F12+G12)</f>
        <v>79.849999999999994</v>
      </c>
      <c r="L12" s="94" t="b">
        <v>1</v>
      </c>
      <c r="M12" s="94" t="b">
        <v>1</v>
      </c>
      <c r="N12" s="94" t="b">
        <v>1</v>
      </c>
    </row>
    <row r="13" spans="2:14">
      <c r="B13" t="str">
        <f ca="1">OFFSET(Members!B9,Members!$L$1,0)</f>
        <v>Mrs</v>
      </c>
      <c r="C13" t="str">
        <f ca="1">OFFSET(Members!C9,Members!$L$1,0)</f>
        <v>Stephani Priddy  </v>
      </c>
      <c r="D13" s="44">
        <f ca="1">OFFSET(Members!D9,Members!$L$1,0)</f>
        <v>19</v>
      </c>
      <c r="E13" s="43" t="str">
        <f ca="1">OFFSET(Members!E9,Members!$L$1,0)</f>
        <v>Adult</v>
      </c>
      <c r="F13" s="79">
        <f ca="1">OFFSET(Members!K88,Members!$L$1,0)</f>
        <v>15</v>
      </c>
      <c r="G13" s="79">
        <f ca="1">OFFSET(Members!K49,Members!$L$1,0)</f>
        <v>20</v>
      </c>
      <c r="K13" s="89">
        <f ca="1">SUM(L13*'Price of Tickets'!$I$34,M13*'Price of Tickets'!$I$35,N13*'Price of Tickets'!$I$36+F13+G13)</f>
        <v>96.5</v>
      </c>
      <c r="L13" s="94" t="b">
        <v>1</v>
      </c>
      <c r="M13" s="94" t="b">
        <v>1</v>
      </c>
      <c r="N13" s="94" t="b">
        <v>1</v>
      </c>
    </row>
    <row r="14" spans="2:14">
      <c r="B14" t="str">
        <f ca="1">OFFSET(Members!B10,Members!$L$1,0)</f>
        <v>Ms</v>
      </c>
      <c r="C14" t="str">
        <f ca="1">OFFSET(Members!C10,Members!$L$1,0)</f>
        <v>Vallie Ellerbee</v>
      </c>
      <c r="D14" s="44">
        <f ca="1">OFFSET(Members!D10,Members!$L$1,0)</f>
        <v>47</v>
      </c>
      <c r="E14" s="43" t="str">
        <f ca="1">OFFSET(Members!E10,Members!$L$1,0)</f>
        <v>Adult</v>
      </c>
      <c r="F14" s="79">
        <f ca="1">OFFSET(Members!K89,Members!$L$1,0)</f>
        <v>15</v>
      </c>
      <c r="G14" s="79">
        <f ca="1">OFFSET(Members!K50,Members!$L$1,0)</f>
        <v>20</v>
      </c>
      <c r="K14" s="89">
        <f ca="1">SUM(L14*'Price of Tickets'!$I$34,M14*'Price of Tickets'!$I$35,N14*'Price of Tickets'!$I$36+F14+G14)</f>
        <v>96.5</v>
      </c>
      <c r="L14" s="94" t="b">
        <v>1</v>
      </c>
      <c r="M14" s="94" t="b">
        <v>1</v>
      </c>
      <c r="N14" s="94" t="b">
        <v>1</v>
      </c>
    </row>
    <row r="15" spans="2:14">
      <c r="B15" t="str">
        <f ca="1">OFFSET(Members!B11,Members!$L$1,0)</f>
        <v>Mr</v>
      </c>
      <c r="C15" t="str">
        <f ca="1">OFFSET(Members!C11,Members!$L$1,0)</f>
        <v>Nieves Cantwell  </v>
      </c>
      <c r="D15" s="44">
        <f ca="1">OFFSET(Members!D11,Members!$L$1,0)</f>
        <v>52</v>
      </c>
      <c r="E15" s="43" t="str">
        <f ca="1">OFFSET(Members!E11,Members!$L$1,0)</f>
        <v>Senior/Benefits</v>
      </c>
      <c r="F15" s="79">
        <f ca="1">OFFSET(Members!K90,Members!$L$1,0)</f>
        <v>7.5</v>
      </c>
      <c r="G15" s="79">
        <f ca="1">OFFSET(Members!K51,Members!$L$1,0)</f>
        <v>11</v>
      </c>
      <c r="K15" s="89">
        <f ca="1">SUM(L15*'Price of Tickets'!$H$90,M15*'Price of Tickets'!$H$91,N15*'Price of Tickets'!$H$92+F15+G15)</f>
        <v>69.237499999999997</v>
      </c>
      <c r="L15" s="94" t="b">
        <v>1</v>
      </c>
      <c r="M15" s="94" t="b">
        <v>1</v>
      </c>
      <c r="N15" s="94" t="b">
        <v>1</v>
      </c>
    </row>
    <row r="16" spans="2:14">
      <c r="B16" t="str">
        <f ca="1">OFFSET(Members!B12,Members!$L$1,0)</f>
        <v>Mr</v>
      </c>
      <c r="C16" t="str">
        <f ca="1">OFFSET(Members!C12,Members!$L$1,0)</f>
        <v>Bryan Darcy</v>
      </c>
      <c r="D16" s="44">
        <f ca="1">OFFSET(Members!D12,Members!$L$1,0)</f>
        <v>36</v>
      </c>
      <c r="E16" s="43" t="str">
        <f ca="1">OFFSET(Members!E12,Members!$L$1,0)</f>
        <v>Adult</v>
      </c>
      <c r="F16" s="79">
        <f ca="1">OFFSET(Members!K91,Members!$L$1,0)</f>
        <v>15</v>
      </c>
      <c r="G16" s="79">
        <f ca="1">OFFSET(Members!K52,Members!$L$1,0)</f>
        <v>20</v>
      </c>
      <c r="K16" s="89">
        <f ca="1">SUM(L16*'Price of Tickets'!$I$34,M16*'Price of Tickets'!$I$35,N16*'Price of Tickets'!$I$36+F16+G16)</f>
        <v>96.5</v>
      </c>
      <c r="L16" s="94" t="b">
        <v>1</v>
      </c>
      <c r="M16" s="94" t="b">
        <v>1</v>
      </c>
      <c r="N16" s="94" t="b">
        <v>1</v>
      </c>
    </row>
    <row r="17" spans="2:14">
      <c r="B17" t="str">
        <f ca="1">OFFSET(Members!B13,Members!$L$1,0)</f>
        <v>Ms</v>
      </c>
      <c r="C17" t="str">
        <f ca="1">OFFSET(Members!C13,Members!$L$1,0)</f>
        <v>Cristine Richards</v>
      </c>
      <c r="D17" s="44">
        <f ca="1">OFFSET(Members!D13,Members!$L$1,0)</f>
        <v>35</v>
      </c>
      <c r="E17" s="43" t="str">
        <f ca="1">OFFSET(Members!E13,Members!$L$1,0)</f>
        <v>Adult</v>
      </c>
      <c r="F17" s="79">
        <f ca="1">OFFSET(Members!K92,Members!$L$1,0)</f>
        <v>15</v>
      </c>
      <c r="G17" s="79">
        <f ca="1">OFFSET(Members!K53,Members!$L$1,0)</f>
        <v>20</v>
      </c>
      <c r="K17" s="89">
        <f ca="1">SUM(L17*'Price of Tickets'!$I$34,M17*'Price of Tickets'!$I$35,N17*'Price of Tickets'!$I$36+F17+G17)</f>
        <v>96.5</v>
      </c>
      <c r="L17" s="94" t="b">
        <v>1</v>
      </c>
      <c r="M17" s="94" t="b">
        <v>1</v>
      </c>
      <c r="N17" s="94" t="b">
        <v>1</v>
      </c>
    </row>
    <row r="18" spans="2:14">
      <c r="B18" t="str">
        <f ca="1">OFFSET(Members!B14,Members!$L$1,0)</f>
        <v>Mr</v>
      </c>
      <c r="C18" t="str">
        <f ca="1">OFFSET(Members!C14,Members!$L$1,0)</f>
        <v>Kala Fling</v>
      </c>
      <c r="D18" s="44">
        <f ca="1">OFFSET(Members!D14,Members!$L$1,0)</f>
        <v>26</v>
      </c>
      <c r="E18" s="43" t="str">
        <f ca="1">OFFSET(Members!E14,Members!$L$1,0)</f>
        <v>Adult</v>
      </c>
      <c r="F18" s="79">
        <f ca="1">OFFSET(Members!K93,Members!$L$1,0)</f>
        <v>15</v>
      </c>
      <c r="G18" s="79">
        <f ca="1">OFFSET(Members!K54,Members!$L$1,0)</f>
        <v>20</v>
      </c>
      <c r="K18" s="89">
        <f ca="1">SUM(L18*'Price of Tickets'!$I$34,M18*'Price of Tickets'!$I$35,N18*'Price of Tickets'!$I$36+F18+G18)</f>
        <v>96.5</v>
      </c>
      <c r="L18" s="94" t="b">
        <v>1</v>
      </c>
      <c r="M18" s="94" t="b">
        <v>1</v>
      </c>
      <c r="N18" s="94" t="b">
        <v>1</v>
      </c>
    </row>
    <row r="19" spans="2:14">
      <c r="B19" t="str">
        <f ca="1">OFFSET(Members!B15,Members!$L$1,0)</f>
        <v>Mrs</v>
      </c>
      <c r="C19" t="str">
        <f ca="1">OFFSET(Members!C15,Members!$L$1,0)</f>
        <v>Silvana Quon</v>
      </c>
      <c r="D19" s="44">
        <f ca="1">OFFSET(Members!D15,Members!$L$1,0)</f>
        <v>48</v>
      </c>
      <c r="E19" s="43" t="str">
        <f ca="1">OFFSET(Members!E15,Members!$L$1,0)</f>
        <v>Adult</v>
      </c>
      <c r="F19" s="79">
        <f ca="1">OFFSET(Members!K94,Members!$L$1,0)</f>
        <v>15</v>
      </c>
      <c r="G19" s="79">
        <f ca="1">OFFSET(Members!K55,Members!$L$1,0)</f>
        <v>20</v>
      </c>
      <c r="K19" s="89">
        <f ca="1">SUM(L19*'Price of Tickets'!$I$34,M19*'Price of Tickets'!$I$35,N19*'Price of Tickets'!$I$36+F19+G19)</f>
        <v>96.5</v>
      </c>
      <c r="L19" s="94" t="b">
        <v>1</v>
      </c>
      <c r="M19" s="94" t="b">
        <v>1</v>
      </c>
      <c r="N19" s="94" t="b">
        <v>1</v>
      </c>
    </row>
    <row r="20" spans="2:14">
      <c r="B20" t="str">
        <f ca="1">OFFSET(Members!B16,Members!$L$1,0)</f>
        <v>Master</v>
      </c>
      <c r="C20" t="str">
        <f ca="1">OFFSET(Members!C16,Members!$L$1,0)</f>
        <v>Kiana Jenkinson</v>
      </c>
      <c r="D20" s="44">
        <f ca="1">OFFSET(Members!D16,Members!$L$1,0)</f>
        <v>51</v>
      </c>
      <c r="E20" s="43" t="str">
        <f ca="1">OFFSET(Members!E16,Members!$L$1,0)</f>
        <v>Senior/Benefits</v>
      </c>
      <c r="F20" s="79">
        <f ca="1">OFFSET(Members!K95,Members!$L$1,0)</f>
        <v>7.5</v>
      </c>
      <c r="G20" s="79">
        <f ca="1">OFFSET(Members!K56,Members!$L$1,0)</f>
        <v>11</v>
      </c>
      <c r="K20" s="89">
        <f ca="1">SUM(L20*'Price of Tickets'!$H$90,M20*'Price of Tickets'!$H$91,N20*'Price of Tickets'!$H$92+F20+G20)</f>
        <v>69.237499999999997</v>
      </c>
      <c r="L20" s="94" t="b">
        <v>1</v>
      </c>
      <c r="M20" s="94" t="b">
        <v>1</v>
      </c>
      <c r="N20" s="94" t="b">
        <v>1</v>
      </c>
    </row>
    <row r="21" spans="2:14">
      <c r="B21" t="str">
        <f ca="1">OFFSET(Members!B17,Members!$L$1,0)</f>
        <v>Miss</v>
      </c>
      <c r="C21" t="str">
        <f ca="1">OFFSET(Members!C17,Members!$L$1,0)</f>
        <v>Sumiko Hankinson  </v>
      </c>
      <c r="D21" s="44">
        <f ca="1">OFFSET(Members!D17,Members!$L$1,0)</f>
        <v>20</v>
      </c>
      <c r="E21" s="43" t="str">
        <f ca="1">OFFSET(Members!E17,Members!$L$1,0)</f>
        <v>Adult</v>
      </c>
      <c r="F21" s="79">
        <f ca="1">OFFSET(Members!K96,Members!$L$1,0)</f>
        <v>15</v>
      </c>
      <c r="G21" s="79">
        <f ca="1">OFFSET(Members!K57,Members!$L$1,0)</f>
        <v>20</v>
      </c>
      <c r="K21" s="89">
        <f ca="1">SUM(L21*'Price of Tickets'!$I$34,M21*'Price of Tickets'!$I$35,N21*'Price of Tickets'!$I$36+F21+G21)</f>
        <v>96.5</v>
      </c>
      <c r="L21" s="94" t="b">
        <v>1</v>
      </c>
      <c r="M21" s="94" t="b">
        <v>1</v>
      </c>
      <c r="N21" s="94" t="b">
        <v>1</v>
      </c>
    </row>
    <row r="22" spans="2:14">
      <c r="B22" t="str">
        <f ca="1">OFFSET(Members!B18,Members!$L$1,0)</f>
        <v>Mrs</v>
      </c>
      <c r="C22" t="str">
        <f ca="1">OFFSET(Members!C18,Members!$L$1,0)</f>
        <v xml:space="preserve">Crista Rieves </v>
      </c>
      <c r="D22" s="44">
        <f ca="1">OFFSET(Members!D18,Members!$L$1,0)</f>
        <v>91</v>
      </c>
      <c r="E22" s="43" t="str">
        <f ca="1">OFFSET(Members!E18,Members!$L$1,0)</f>
        <v>Senior/Benefits</v>
      </c>
      <c r="F22" s="79">
        <f ca="1">OFFSET(Members!K97,Members!$L$1,0)</f>
        <v>7.5</v>
      </c>
      <c r="G22" s="79">
        <f ca="1">OFFSET(Members!K58,Members!$L$1,0)</f>
        <v>11</v>
      </c>
      <c r="K22" s="89">
        <f ca="1">SUM(L22*'Price of Tickets'!$H$90,M22*'Price of Tickets'!$H$91,N22*'Price of Tickets'!$H$92+F22+G22)</f>
        <v>69.237499999999997</v>
      </c>
      <c r="L22" s="94" t="b">
        <v>1</v>
      </c>
      <c r="M22" s="94" t="b">
        <v>1</v>
      </c>
      <c r="N22" s="94" t="b">
        <v>1</v>
      </c>
    </row>
    <row r="23" spans="2:14">
      <c r="B23" t="str">
        <f ca="1">OFFSET(Members!B19,Members!$L$1,0)</f>
        <v>Miss</v>
      </c>
      <c r="C23" t="str">
        <f ca="1">OFFSET(Members!C19,Members!$L$1,0)</f>
        <v>Emerald Shea  </v>
      </c>
      <c r="D23" s="44">
        <f ca="1">OFFSET(Members!D19,Members!$L$1,0)</f>
        <v>22</v>
      </c>
      <c r="E23" s="43" t="str">
        <f ca="1">OFFSET(Members!E19,Members!$L$1,0)</f>
        <v>Adult</v>
      </c>
      <c r="F23" s="79">
        <f ca="1">OFFSET(Members!K98,Members!$L$1,0)</f>
        <v>15</v>
      </c>
      <c r="G23" s="79">
        <f ca="1">OFFSET(Members!K59,Members!$L$1,0)</f>
        <v>20</v>
      </c>
      <c r="K23" s="89">
        <f ca="1">SUM(L23*'Price of Tickets'!$I$34,M23*'Price of Tickets'!$I$35,N23*'Price of Tickets'!$I$36+F23+G23)</f>
        <v>96.5</v>
      </c>
      <c r="L23" s="94" t="b">
        <v>1</v>
      </c>
      <c r="M23" s="94" t="b">
        <v>1</v>
      </c>
      <c r="N23" s="94" t="b">
        <v>1</v>
      </c>
    </row>
    <row r="24" spans="2:14">
      <c r="B24" t="str">
        <f ca="1">OFFSET(Members!B20,Members!$L$1,0)</f>
        <v>Mrs</v>
      </c>
      <c r="C24" t="str">
        <f ca="1">OFFSET(Members!C20,Members!$L$1,0)</f>
        <v xml:space="preserve">Geraldine Bowe </v>
      </c>
      <c r="D24" s="44">
        <f ca="1">OFFSET(Members!D20,Members!$L$1,0)</f>
        <v>18</v>
      </c>
      <c r="E24" s="43" t="str">
        <f ca="1">OFFSET(Members!E20,Members!$L$1,0)</f>
        <v>Student</v>
      </c>
      <c r="F24" s="79">
        <f ca="1">OFFSET(Members!K99,Members!$L$1,0)</f>
        <v>10</v>
      </c>
      <c r="G24" s="79">
        <f ca="1">OFFSET(Members!K60,Members!$L$1,0)</f>
        <v>14.5</v>
      </c>
      <c r="K24" s="89">
        <f ca="1">SUM(L24*'Price of Tickets'!$H$62,M24*'Price of Tickets'!$H$63,N24*'Price of Tickets'!$H$64+F24+G24)</f>
        <v>79.849999999999994</v>
      </c>
      <c r="L24" s="94" t="b">
        <v>1</v>
      </c>
      <c r="M24" s="94" t="b">
        <v>1</v>
      </c>
      <c r="N24" s="94" t="b">
        <v>1</v>
      </c>
    </row>
    <row r="25" spans="2:14">
      <c r="B25" t="str">
        <f ca="1">OFFSET(Members!B21,Members!$L$1,0)</f>
        <v>Miss</v>
      </c>
      <c r="C25" t="str">
        <f ca="1">OFFSET(Members!C21,Members!$L$1,0)</f>
        <v xml:space="preserve">Oswaldo Ashurst </v>
      </c>
      <c r="D25" s="44">
        <f ca="1">OFFSET(Members!D21,Members!$L$1,0)</f>
        <v>18</v>
      </c>
      <c r="E25" s="43" t="str">
        <f ca="1">OFFSET(Members!E21,Members!$L$1,0)</f>
        <v>Student</v>
      </c>
      <c r="F25" s="79">
        <f ca="1">OFFSET(Members!K100,Members!$L$1,0)</f>
        <v>10</v>
      </c>
      <c r="G25" s="79">
        <f ca="1">OFFSET(Members!K61,Members!$L$1,0)</f>
        <v>14.5</v>
      </c>
      <c r="K25" s="89">
        <f ca="1">SUM(L25*'Price of Tickets'!$H$62,M25*'Price of Tickets'!$H$63,N25*'Price of Tickets'!$H$64+F25+G25)</f>
        <v>79.849999999999994</v>
      </c>
      <c r="L25" s="94" t="b">
        <v>1</v>
      </c>
      <c r="M25" s="94" t="b">
        <v>1</v>
      </c>
      <c r="N25" s="94" t="b">
        <v>1</v>
      </c>
    </row>
    <row r="26" spans="2:14">
      <c r="B26" t="str">
        <f ca="1">OFFSET(Members!B22,Members!$L$1,0)</f>
        <v>Miss</v>
      </c>
      <c r="C26" t="str">
        <f ca="1">OFFSET(Members!C22,Members!$L$1,0)</f>
        <v xml:space="preserve">Lorita Headen </v>
      </c>
      <c r="D26" s="44">
        <f ca="1">OFFSET(Members!D22,Members!$L$1,0)</f>
        <v>19</v>
      </c>
      <c r="E26" s="43" t="str">
        <f ca="1">OFFSET(Members!E22,Members!$L$1,0)</f>
        <v>Adult</v>
      </c>
      <c r="F26" s="79">
        <f ca="1">OFFSET(Members!K101,Members!$L$1,0)</f>
        <v>15</v>
      </c>
      <c r="G26" s="79">
        <f ca="1">OFFSET(Members!K62,Members!$L$1,0)</f>
        <v>20</v>
      </c>
      <c r="K26" s="89">
        <f ca="1">SUM(L26*'Price of Tickets'!$I$34,M26*'Price of Tickets'!$I$35,N26*'Price of Tickets'!$I$36+F26+G26)</f>
        <v>96.5</v>
      </c>
      <c r="L26" s="94" t="b">
        <v>1</v>
      </c>
      <c r="M26" s="94" t="b">
        <v>1</v>
      </c>
      <c r="N26" s="94" t="b">
        <v>1</v>
      </c>
    </row>
    <row r="27" spans="2:14">
      <c r="B27" t="str">
        <f ca="1">OFFSET(Members!B23,Members!$L$1,0)</f>
        <v>Miss</v>
      </c>
      <c r="C27" t="str">
        <f ca="1">OFFSET(Members!C23,Members!$L$1,0)</f>
        <v>Elise Abdo  </v>
      </c>
      <c r="D27" s="44">
        <f ca="1">OFFSET(Members!D23,Members!$L$1,0)</f>
        <v>20</v>
      </c>
      <c r="E27" s="43" t="str">
        <f ca="1">OFFSET(Members!E23,Members!$L$1,0)</f>
        <v>Adult</v>
      </c>
      <c r="F27" s="79">
        <f ca="1">OFFSET(Members!K102,Members!$L$1,0)</f>
        <v>15</v>
      </c>
      <c r="G27" s="79">
        <f ca="1">OFFSET(Members!K63,Members!$L$1,0)</f>
        <v>20</v>
      </c>
      <c r="K27" s="89">
        <f ca="1">SUM(L27*'Price of Tickets'!$I$34,M27*'Price of Tickets'!$I$35,N27*'Price of Tickets'!$I$36+F27+G27)</f>
        <v>96.5</v>
      </c>
      <c r="L27" s="94" t="b">
        <v>1</v>
      </c>
      <c r="M27" s="94" t="b">
        <v>1</v>
      </c>
      <c r="N27" s="94" t="b">
        <v>1</v>
      </c>
    </row>
    <row r="28" spans="2:14">
      <c r="B28" t="str">
        <f ca="1">OFFSET(Members!B24,Members!$L$1,0)</f>
        <v>Miss</v>
      </c>
      <c r="C28" t="str">
        <f ca="1">OFFSET(Members!C24,Members!$L$1,0)</f>
        <v>Emily Newman</v>
      </c>
      <c r="D28" s="44">
        <f ca="1">OFFSET(Members!D24,Members!$L$1,0)</f>
        <v>17</v>
      </c>
      <c r="E28" s="43" t="str">
        <f ca="1">OFFSET(Members!E24,Members!$L$1,0)</f>
        <v>Student</v>
      </c>
      <c r="F28" s="79">
        <f ca="1">OFFSET(Members!K103,Members!$L$1,0)</f>
        <v>10</v>
      </c>
      <c r="G28" s="79">
        <f ca="1">OFFSET(Members!K64,Members!$L$1,0)</f>
        <v>14.5</v>
      </c>
      <c r="K28" s="89">
        <f ca="1">SUM(L28*'Price of Tickets'!$H$62,M28*'Price of Tickets'!$H$63,N28*'Price of Tickets'!$H$64+F28+G28)</f>
        <v>79.849999999999994</v>
      </c>
      <c r="L28" s="94" t="b">
        <v>1</v>
      </c>
      <c r="M28" s="94" t="b">
        <v>1</v>
      </c>
      <c r="N28" s="94" t="b">
        <v>1</v>
      </c>
    </row>
    <row r="29" spans="2:14">
      <c r="B29" t="str">
        <f ca="1">OFFSET(Members!B25,Members!$L$1,0)</f>
        <v>Mr</v>
      </c>
      <c r="C29" t="str">
        <f ca="1">OFFSET(Members!C25,Members!$L$1,0)</f>
        <v>Earnest Munoz</v>
      </c>
      <c r="D29" s="44">
        <f ca="1">OFFSET(Members!D25,Members!$L$1,0)</f>
        <v>16</v>
      </c>
      <c r="E29" s="43" t="str">
        <f ca="1">OFFSET(Members!E25,Members!$L$1,0)</f>
        <v>Student</v>
      </c>
      <c r="F29" s="79">
        <f ca="1">OFFSET(Members!K104,Members!$L$1,0)</f>
        <v>10</v>
      </c>
      <c r="G29" s="79">
        <f ca="1">OFFSET(Members!K65,Members!$L$1,0)</f>
        <v>14.5</v>
      </c>
      <c r="K29" s="89">
        <f ca="1">SUM(L29*'Price of Tickets'!$H$62,M29*'Price of Tickets'!$H$63,N29*'Price of Tickets'!$H$64+F29+G29)</f>
        <v>79.849999999999994</v>
      </c>
      <c r="L29" s="94" t="b">
        <v>1</v>
      </c>
      <c r="M29" s="94" t="b">
        <v>1</v>
      </c>
      <c r="N29" s="94" t="b">
        <v>1</v>
      </c>
    </row>
    <row r="30" spans="2:14">
      <c r="B30" t="str">
        <f ca="1">OFFSET(Members!B26,Members!$L$1,0)</f>
        <v>Mrs</v>
      </c>
      <c r="C30" t="str">
        <f ca="1">OFFSET(Members!C26,Members!$L$1,0)</f>
        <v>Cora Sims</v>
      </c>
      <c r="D30" s="44">
        <f ca="1">OFFSET(Members!D26,Members!$L$1,0)</f>
        <v>24</v>
      </c>
      <c r="E30" s="43" t="str">
        <f ca="1">OFFSET(Members!E26,Members!$L$1,0)</f>
        <v>Adult</v>
      </c>
      <c r="F30" s="79">
        <f ca="1">OFFSET(Members!K105,Members!$L$1,0)</f>
        <v>15</v>
      </c>
      <c r="G30" s="79">
        <f ca="1">OFFSET(Members!K66,Members!$L$1,0)</f>
        <v>20</v>
      </c>
      <c r="K30" s="89">
        <f ca="1">SUM(L30*'Price of Tickets'!$I$34,M30*'Price of Tickets'!$I$35,N30*'Price of Tickets'!$I$36+F30+G30)</f>
        <v>96.5</v>
      </c>
      <c r="L30" s="94" t="b">
        <v>1</v>
      </c>
      <c r="M30" s="94" t="b">
        <v>1</v>
      </c>
      <c r="N30" s="94" t="b">
        <v>1</v>
      </c>
    </row>
    <row r="31" spans="2:14">
      <c r="B31" t="str">
        <f ca="1">OFFSET(Members!B27,Members!$L$1,0)</f>
        <v>Mrs</v>
      </c>
      <c r="C31" t="str">
        <f ca="1">OFFSET(Members!C27,Members!$L$1,0)</f>
        <v>Delia Mills</v>
      </c>
      <c r="D31" s="44">
        <f ca="1">OFFSET(Members!D27,Members!$L$1,0)</f>
        <v>35</v>
      </c>
      <c r="E31" s="43" t="str">
        <f ca="1">OFFSET(Members!E27,Members!$L$1,0)</f>
        <v>Adult</v>
      </c>
      <c r="F31" s="79">
        <f ca="1">OFFSET(Members!K106,Members!$L$1,0)</f>
        <v>15</v>
      </c>
      <c r="G31" s="79">
        <f ca="1">OFFSET(Members!K67,Members!$L$1,0)</f>
        <v>20</v>
      </c>
      <c r="K31" s="89">
        <f ca="1">SUM(L31*'Price of Tickets'!$I$34,M31*'Price of Tickets'!$I$35,N31*'Price of Tickets'!$I$36+F31+G31)</f>
        <v>96.5</v>
      </c>
      <c r="L31" s="94" t="b">
        <v>1</v>
      </c>
      <c r="M31" s="94" t="b">
        <v>1</v>
      </c>
      <c r="N31" s="94" t="b">
        <v>1</v>
      </c>
    </row>
    <row r="32" spans="2:14">
      <c r="B32" t="str">
        <f ca="1">OFFSET(Members!B28,Members!$L$1,0)</f>
        <v>Mr</v>
      </c>
      <c r="C32" t="str">
        <f ca="1">OFFSET(Members!C28,Members!$L$1,0)</f>
        <v>Raymond Wright</v>
      </c>
      <c r="D32" s="44">
        <f ca="1">OFFSET(Members!D28,Members!$L$1,0)</f>
        <v>32</v>
      </c>
      <c r="E32" s="43" t="str">
        <f ca="1">OFFSET(Members!E28,Members!$L$1,0)</f>
        <v>Adult</v>
      </c>
      <c r="F32" s="79">
        <f ca="1">OFFSET(Members!K107,Members!$L$1,0)</f>
        <v>15</v>
      </c>
      <c r="G32" s="79">
        <f ca="1">OFFSET(Members!K68,Members!$L$1,0)</f>
        <v>20</v>
      </c>
      <c r="K32" s="89">
        <f ca="1">SUM(L32*'Price of Tickets'!$I$34,M32*'Price of Tickets'!$I$35,N32*'Price of Tickets'!$I$36+F32+G32)</f>
        <v>96.5</v>
      </c>
      <c r="L32" s="94" t="b">
        <v>1</v>
      </c>
      <c r="M32" s="94" t="b">
        <v>1</v>
      </c>
      <c r="N32" s="94" t="b">
        <v>1</v>
      </c>
    </row>
    <row r="33" spans="2:14">
      <c r="B33" t="str">
        <f ca="1">OFFSET(Members!B29,Members!$L$1,0)</f>
        <v>Miss</v>
      </c>
      <c r="C33" t="str">
        <f ca="1">OFFSET(Members!C29,Members!$L$1,0)</f>
        <v>Velma Pratt</v>
      </c>
      <c r="D33" s="44">
        <f ca="1">OFFSET(Members!D29,Members!$L$1,0)</f>
        <v>71</v>
      </c>
      <c r="E33" s="43" t="str">
        <f ca="1">OFFSET(Members!E29,Members!$L$1,0)</f>
        <v>Senior/Benefits</v>
      </c>
      <c r="F33" s="79">
        <f ca="1">OFFSET(Members!K108,Members!$L$1,0)</f>
        <v>7.5</v>
      </c>
      <c r="G33" s="79">
        <f ca="1">OFFSET(Members!K69,Members!$L$1,0)</f>
        <v>11</v>
      </c>
      <c r="K33" s="89">
        <f ca="1">SUM(L33*'Price of Tickets'!$H$90,M33*'Price of Tickets'!$H$91,N33*'Price of Tickets'!$H$92+F33+G33)</f>
        <v>69.237499999999997</v>
      </c>
      <c r="L33" s="94" t="b">
        <v>1</v>
      </c>
      <c r="M33" s="94" t="b">
        <v>1</v>
      </c>
      <c r="N33" s="94" t="b">
        <v>1</v>
      </c>
    </row>
    <row r="34" spans="2:14">
      <c r="B34" t="str">
        <f ca="1">OFFSET(Members!B30,Members!$L$1,0)</f>
        <v>Mrs</v>
      </c>
      <c r="C34" t="str">
        <f ca="1">OFFSET(Members!C30,Members!$L$1,0)</f>
        <v>Gretchen Cummings</v>
      </c>
      <c r="D34" s="44">
        <f ca="1">OFFSET(Members!D30,Members!$L$1,0)</f>
        <v>81</v>
      </c>
      <c r="E34" s="43" t="str">
        <f ca="1">OFFSET(Members!E30,Members!$L$1,0)</f>
        <v>Senior/Benefits</v>
      </c>
      <c r="F34" s="79">
        <f ca="1">OFFSET(Members!K109,Members!$L$1,0)</f>
        <v>7.5</v>
      </c>
      <c r="G34" s="79">
        <f ca="1">OFFSET(Members!K70,Members!$L$1,0)</f>
        <v>11</v>
      </c>
      <c r="K34" s="89">
        <f ca="1">SUM(L34*'Price of Tickets'!$H$90,M34*'Price of Tickets'!$H$91,N34*'Price of Tickets'!$H$92+F34+G34)</f>
        <v>69.237499999999997</v>
      </c>
      <c r="L34" s="94" t="b">
        <v>1</v>
      </c>
      <c r="M34" s="94" t="b">
        <v>1</v>
      </c>
      <c r="N34" s="94" t="b">
        <v>1</v>
      </c>
    </row>
    <row r="35" spans="2:14">
      <c r="B35" t="str">
        <f ca="1">OFFSET(Members!B31,Members!$L$1,0)</f>
        <v>Miss</v>
      </c>
      <c r="C35" t="str">
        <f ca="1">OFFSET(Members!C31,Members!$L$1,0)</f>
        <v>Mindy Obrien</v>
      </c>
      <c r="D35" s="44">
        <f ca="1">OFFSET(Members!D31,Members!$L$1,0)</f>
        <v>24</v>
      </c>
      <c r="E35" s="43" t="str">
        <f ca="1">OFFSET(Members!E31,Members!$L$1,0)</f>
        <v>Adult</v>
      </c>
      <c r="F35" s="79">
        <f ca="1">OFFSET(Members!K110,Members!$L$1,0)</f>
        <v>15</v>
      </c>
      <c r="G35" s="79">
        <f ca="1">OFFSET(Members!K71,Members!$L$1,0)</f>
        <v>20</v>
      </c>
      <c r="K35" s="89">
        <f ca="1">SUM(L35*'Price of Tickets'!$I$34,M35*'Price of Tickets'!$I$35,N35*'Price of Tickets'!$I$36+F35+G35)</f>
        <v>96.5</v>
      </c>
      <c r="L35" s="94" t="b">
        <v>1</v>
      </c>
      <c r="M35" s="94" t="b">
        <v>1</v>
      </c>
      <c r="N35" s="94" t="b">
        <v>1</v>
      </c>
    </row>
    <row r="36" spans="2:14">
      <c r="K36" s="90"/>
    </row>
    <row r="37" spans="2:14" ht="21">
      <c r="I37" s="102" t="s">
        <v>211</v>
      </c>
      <c r="K37" s="123">
        <f ca="1">SUM(K5:K35)</f>
        <v>2621.3249999999998</v>
      </c>
    </row>
    <row r="42" spans="2:14" ht="15.75" thickBot="1"/>
    <row r="43" spans="2:14" ht="16.5" thickTop="1" thickBot="1">
      <c r="B43" s="100" t="s">
        <v>284</v>
      </c>
      <c r="C43" s="99"/>
      <c r="D43" s="96" t="s">
        <v>285</v>
      </c>
      <c r="E43" s="97"/>
    </row>
    <row r="44" spans="2:14" ht="16.5" thickTop="1" thickBot="1">
      <c r="D44" s="96" t="s">
        <v>294</v>
      </c>
      <c r="E44" s="98" t="s">
        <v>301</v>
      </c>
    </row>
    <row r="45" spans="2:14" ht="16.5" thickTop="1" thickBot="1">
      <c r="D45" s="96" t="s">
        <v>288</v>
      </c>
      <c r="E45" s="97"/>
    </row>
    <row r="46" spans="2:14" ht="16.5" thickTop="1" thickBot="1">
      <c r="D46" s="96" t="s">
        <v>289</v>
      </c>
      <c r="E46" s="98" t="s">
        <v>301</v>
      </c>
    </row>
    <row r="47" spans="2:14" ht="16.5" thickTop="1" thickBot="1">
      <c r="D47" s="96" t="s">
        <v>290</v>
      </c>
      <c r="E47" s="98"/>
    </row>
    <row r="48" spans="2:14" ht="16.5" thickTop="1" thickBot="1">
      <c r="D48" s="96" t="s">
        <v>291</v>
      </c>
      <c r="E48" s="97"/>
    </row>
    <row r="49" spans="4:5" ht="16.5" thickTop="1" thickBot="1">
      <c r="D49" s="96" t="s">
        <v>295</v>
      </c>
      <c r="E49" s="97"/>
    </row>
    <row r="50" spans="4:5" ht="16.5" thickTop="1" thickBot="1">
      <c r="D50" s="96" t="s">
        <v>296</v>
      </c>
      <c r="E50" s="98"/>
    </row>
    <row r="51" spans="4:5" ht="16.5" thickTop="1" thickBot="1">
      <c r="D51" s="96" t="s">
        <v>297</v>
      </c>
      <c r="E51" s="98" t="s">
        <v>301</v>
      </c>
    </row>
    <row r="52" spans="4:5" ht="16.5" thickTop="1" thickBot="1">
      <c r="D52" s="96" t="s">
        <v>298</v>
      </c>
      <c r="E52" s="97"/>
    </row>
    <row r="53" spans="4:5" ht="16.5" thickTop="1" thickBot="1">
      <c r="D53" s="96" t="s">
        <v>299</v>
      </c>
      <c r="E53" s="97"/>
    </row>
    <row r="54" spans="4:5" ht="16.5" thickTop="1" thickBot="1">
      <c r="D54" s="96" t="s">
        <v>300</v>
      </c>
      <c r="E54" s="98" t="s">
        <v>301</v>
      </c>
    </row>
    <row r="55" spans="4:5" ht="15.75" thickTop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910" r:id="rId3" name="Check Box 94">
              <controlPr defaultSize="0" autoFill="0" autoLine="0" autoPict="0">
                <anchor moveWithCells="1">
                  <from>
                    <xdr:col>7</xdr:col>
                    <xdr:colOff>685800</xdr:colOff>
                    <xdr:row>7</xdr:row>
                    <xdr:rowOff>9525</xdr:rowOff>
                  </from>
                  <to>
                    <xdr:col>7</xdr:col>
                    <xdr:colOff>1076325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4" name="Check Box 95">
              <controlPr defaultSize="0" autoFill="0" autoLine="0" autoPict="0">
                <anchor moveWithCells="1">
                  <from>
                    <xdr:col>7</xdr:col>
                    <xdr:colOff>685800</xdr:colOff>
                    <xdr:row>8</xdr:row>
                    <xdr:rowOff>9525</xdr:rowOff>
                  </from>
                  <to>
                    <xdr:col>7</xdr:col>
                    <xdr:colOff>1000125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5" name="Check Box 96">
              <controlPr defaultSize="0" autoFill="0" autoLine="0" autoPict="0">
                <anchor moveWithCells="1">
                  <from>
                    <xdr:col>7</xdr:col>
                    <xdr:colOff>685800</xdr:colOff>
                    <xdr:row>9</xdr:row>
                    <xdr:rowOff>9525</xdr:rowOff>
                  </from>
                  <to>
                    <xdr:col>7</xdr:col>
                    <xdr:colOff>1000125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6" name="Check Box 97">
              <controlPr defaultSize="0" autoFill="0" autoLine="0" autoPict="0">
                <anchor moveWithCells="1">
                  <from>
                    <xdr:col>7</xdr:col>
                    <xdr:colOff>685800</xdr:colOff>
                    <xdr:row>9</xdr:row>
                    <xdr:rowOff>171450</xdr:rowOff>
                  </from>
                  <to>
                    <xdr:col>7</xdr:col>
                    <xdr:colOff>1000125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7" name="Check Box 98">
              <controlPr defaultSize="0" autoFill="0" autoLine="0" autoPict="0">
                <anchor moveWithCells="1">
                  <from>
                    <xdr:col>7</xdr:col>
                    <xdr:colOff>685800</xdr:colOff>
                    <xdr:row>10</xdr:row>
                    <xdr:rowOff>171450</xdr:rowOff>
                  </from>
                  <to>
                    <xdr:col>7</xdr:col>
                    <xdr:colOff>1019175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8" name="Check Box 99">
              <controlPr defaultSize="0" autoFill="0" autoLine="0" autoPict="0">
                <anchor moveWithCells="1">
                  <from>
                    <xdr:col>7</xdr:col>
                    <xdr:colOff>685800</xdr:colOff>
                    <xdr:row>11</xdr:row>
                    <xdr:rowOff>180975</xdr:rowOff>
                  </from>
                  <to>
                    <xdr:col>7</xdr:col>
                    <xdr:colOff>1028700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9" name="Check Box 100">
              <controlPr defaultSize="0" autoFill="0" autoLine="0" autoPict="0">
                <anchor moveWithCells="1">
                  <from>
                    <xdr:col>7</xdr:col>
                    <xdr:colOff>685800</xdr:colOff>
                    <xdr:row>13</xdr:row>
                    <xdr:rowOff>9525</xdr:rowOff>
                  </from>
                  <to>
                    <xdr:col>7</xdr:col>
                    <xdr:colOff>990600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" name="Check Box 101">
              <controlPr defaultSize="0" autoFill="0" autoLine="0" autoPict="0">
                <anchor moveWithCells="1">
                  <from>
                    <xdr:col>7</xdr:col>
                    <xdr:colOff>685800</xdr:colOff>
                    <xdr:row>14</xdr:row>
                    <xdr:rowOff>0</xdr:rowOff>
                  </from>
                  <to>
                    <xdr:col>7</xdr:col>
                    <xdr:colOff>1000125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1" name="Check Box 102">
              <controlPr defaultSize="0" autoFill="0" autoLine="0" autoPict="0">
                <anchor moveWithCells="1">
                  <from>
                    <xdr:col>7</xdr:col>
                    <xdr:colOff>685800</xdr:colOff>
                    <xdr:row>14</xdr:row>
                    <xdr:rowOff>180975</xdr:rowOff>
                  </from>
                  <to>
                    <xdr:col>8</xdr:col>
                    <xdr:colOff>266700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2" name="Check Box 103">
              <controlPr defaultSize="0" autoFill="0" autoLine="0" autoPict="0">
                <anchor moveWithCells="1">
                  <from>
                    <xdr:col>7</xdr:col>
                    <xdr:colOff>685800</xdr:colOff>
                    <xdr:row>16</xdr:row>
                    <xdr:rowOff>19050</xdr:rowOff>
                  </from>
                  <to>
                    <xdr:col>7</xdr:col>
                    <xdr:colOff>1019175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3" name="Check Box 104">
              <controlPr defaultSize="0" autoFill="0" autoLine="0" autoPict="0">
                <anchor moveWithCells="1">
                  <from>
                    <xdr:col>7</xdr:col>
                    <xdr:colOff>685800</xdr:colOff>
                    <xdr:row>17</xdr:row>
                    <xdr:rowOff>9525</xdr:rowOff>
                  </from>
                  <to>
                    <xdr:col>7</xdr:col>
                    <xdr:colOff>1047750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4" name="Check Box 105">
              <controlPr defaultSize="0" autoFill="0" autoLine="0" autoPict="0">
                <anchor moveWithCells="1">
                  <from>
                    <xdr:col>7</xdr:col>
                    <xdr:colOff>685800</xdr:colOff>
                    <xdr:row>18</xdr:row>
                    <xdr:rowOff>0</xdr:rowOff>
                  </from>
                  <to>
                    <xdr:col>7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5" name="Check Box 106">
              <controlPr defaultSize="0" autoFill="0" autoLine="0" autoPict="0">
                <anchor moveWithCells="1">
                  <from>
                    <xdr:col>7</xdr:col>
                    <xdr:colOff>685800</xdr:colOff>
                    <xdr:row>19</xdr:row>
                    <xdr:rowOff>9525</xdr:rowOff>
                  </from>
                  <to>
                    <xdr:col>7</xdr:col>
                    <xdr:colOff>990600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6" name="Check Box 107">
              <controlPr defaultSize="0" autoFill="0" autoLine="0" autoPict="0">
                <anchor moveWithCells="1">
                  <from>
                    <xdr:col>7</xdr:col>
                    <xdr:colOff>685800</xdr:colOff>
                    <xdr:row>20</xdr:row>
                    <xdr:rowOff>28575</xdr:rowOff>
                  </from>
                  <to>
                    <xdr:col>7</xdr:col>
                    <xdr:colOff>962025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7" name="Check Box 108">
              <controlPr defaultSize="0" autoFill="0" autoLine="0" autoPict="0">
                <anchor moveWithCells="1">
                  <from>
                    <xdr:col>7</xdr:col>
                    <xdr:colOff>685800</xdr:colOff>
                    <xdr:row>20</xdr:row>
                    <xdr:rowOff>180975</xdr:rowOff>
                  </from>
                  <to>
                    <xdr:col>7</xdr:col>
                    <xdr:colOff>990600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8" name="Check Box 109">
              <controlPr defaultSize="0" autoFill="0" autoLine="0" autoPict="0">
                <anchor moveWithCells="1">
                  <from>
                    <xdr:col>7</xdr:col>
                    <xdr:colOff>685800</xdr:colOff>
                    <xdr:row>21</xdr:row>
                    <xdr:rowOff>180975</xdr:rowOff>
                  </from>
                  <to>
                    <xdr:col>7</xdr:col>
                    <xdr:colOff>1019175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9" name="Check Box 110">
              <controlPr defaultSize="0" autoFill="0" autoLine="0" autoPict="0">
                <anchor moveWithCells="1">
                  <from>
                    <xdr:col>7</xdr:col>
                    <xdr:colOff>685800</xdr:colOff>
                    <xdr:row>22</xdr:row>
                    <xdr:rowOff>180975</xdr:rowOff>
                  </from>
                  <to>
                    <xdr:col>7</xdr:col>
                    <xdr:colOff>1019175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20" name="Check Box 111">
              <controlPr defaultSize="0" autoFill="0" autoLine="0" autoPict="0">
                <anchor moveWithCells="1">
                  <from>
                    <xdr:col>7</xdr:col>
                    <xdr:colOff>685800</xdr:colOff>
                    <xdr:row>24</xdr:row>
                    <xdr:rowOff>9525</xdr:rowOff>
                  </from>
                  <to>
                    <xdr:col>7</xdr:col>
                    <xdr:colOff>1019175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21" name="Check Box 112">
              <controlPr defaultSize="0" autoFill="0" autoLine="0" autoPict="0">
                <anchor moveWithCells="1">
                  <from>
                    <xdr:col>7</xdr:col>
                    <xdr:colOff>685800</xdr:colOff>
                    <xdr:row>25</xdr:row>
                    <xdr:rowOff>0</xdr:rowOff>
                  </from>
                  <to>
                    <xdr:col>7</xdr:col>
                    <xdr:colOff>1000125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22" name="Check Box 113">
              <controlPr defaultSize="0" autoFill="0" autoLine="0" autoPict="0">
                <anchor moveWithCells="1">
                  <from>
                    <xdr:col>7</xdr:col>
                    <xdr:colOff>685800</xdr:colOff>
                    <xdr:row>26</xdr:row>
                    <xdr:rowOff>9525</xdr:rowOff>
                  </from>
                  <to>
                    <xdr:col>7</xdr:col>
                    <xdr:colOff>981075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23" name="Check Box 114">
              <controlPr defaultSize="0" autoFill="0" autoLine="0" autoPict="0">
                <anchor moveWithCells="1">
                  <from>
                    <xdr:col>7</xdr:col>
                    <xdr:colOff>685800</xdr:colOff>
                    <xdr:row>6</xdr:row>
                    <xdr:rowOff>9525</xdr:rowOff>
                  </from>
                  <to>
                    <xdr:col>7</xdr:col>
                    <xdr:colOff>1114425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24" name="Check Box 115">
              <controlPr defaultSize="0" autoFill="0" autoLine="0" autoPict="0">
                <anchor moveWithCells="1">
                  <from>
                    <xdr:col>7</xdr:col>
                    <xdr:colOff>685800</xdr:colOff>
                    <xdr:row>4</xdr:row>
                    <xdr:rowOff>180975</xdr:rowOff>
                  </from>
                  <to>
                    <xdr:col>7</xdr:col>
                    <xdr:colOff>1085850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25" name="Check Box 116">
              <controlPr defaultSize="0" autoFill="0" autoLine="0" autoPict="0">
                <anchor moveWithCells="1">
                  <from>
                    <xdr:col>8</xdr:col>
                    <xdr:colOff>419100</xdr:colOff>
                    <xdr:row>5</xdr:row>
                    <xdr:rowOff>171450</xdr:rowOff>
                  </from>
                  <to>
                    <xdr:col>8</xdr:col>
                    <xdr:colOff>885825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26" name="Check Box 117">
              <controlPr defaultSize="0" autoFill="0" autoLine="0" autoPict="0">
                <anchor moveWithCells="1">
                  <from>
                    <xdr:col>8</xdr:col>
                    <xdr:colOff>419100</xdr:colOff>
                    <xdr:row>6</xdr:row>
                    <xdr:rowOff>180975</xdr:rowOff>
                  </from>
                  <to>
                    <xdr:col>8</xdr:col>
                    <xdr:colOff>885825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27" name="Check Box 118">
              <controlPr defaultSize="0" autoFill="0" autoLine="0" autoPict="0">
                <anchor moveWithCells="1">
                  <from>
                    <xdr:col>8</xdr:col>
                    <xdr:colOff>419100</xdr:colOff>
                    <xdr:row>7</xdr:row>
                    <xdr:rowOff>171450</xdr:rowOff>
                  </from>
                  <to>
                    <xdr:col>8</xdr:col>
                    <xdr:colOff>885825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28" name="Check Box 119">
              <controlPr defaultSize="0" autoFill="0" autoLine="0" autoPict="0">
                <anchor moveWithCells="1">
                  <from>
                    <xdr:col>8</xdr:col>
                    <xdr:colOff>419100</xdr:colOff>
                    <xdr:row>9</xdr:row>
                    <xdr:rowOff>0</xdr:rowOff>
                  </from>
                  <to>
                    <xdr:col>8</xdr:col>
                    <xdr:colOff>885825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29" name="Check Box 120">
              <controlPr defaultSize="0" autoFill="0" autoLine="0" autoPict="0">
                <anchor moveWithCells="1">
                  <from>
                    <xdr:col>8</xdr:col>
                    <xdr:colOff>419100</xdr:colOff>
                    <xdr:row>10</xdr:row>
                    <xdr:rowOff>180975</xdr:rowOff>
                  </from>
                  <to>
                    <xdr:col>8</xdr:col>
                    <xdr:colOff>885825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30" name="Check Box 121">
              <controlPr defaultSize="0" autoFill="0" autoLine="0" autoPict="0">
                <anchor moveWithCells="1">
                  <from>
                    <xdr:col>8</xdr:col>
                    <xdr:colOff>419100</xdr:colOff>
                    <xdr:row>11</xdr:row>
                    <xdr:rowOff>180975</xdr:rowOff>
                  </from>
                  <to>
                    <xdr:col>8</xdr:col>
                    <xdr:colOff>885825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31" name="Check Box 122">
              <controlPr defaultSize="0" autoFill="0" autoLine="0" autoPict="0">
                <anchor moveWithCells="1">
                  <from>
                    <xdr:col>8</xdr:col>
                    <xdr:colOff>419100</xdr:colOff>
                    <xdr:row>12</xdr:row>
                    <xdr:rowOff>171450</xdr:rowOff>
                  </from>
                  <to>
                    <xdr:col>8</xdr:col>
                    <xdr:colOff>885825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32" name="Check Box 123">
              <controlPr defaultSize="0" autoFill="0" autoLine="0" autoPict="0">
                <anchor moveWithCells="1">
                  <from>
                    <xdr:col>8</xdr:col>
                    <xdr:colOff>419100</xdr:colOff>
                    <xdr:row>13</xdr:row>
                    <xdr:rowOff>180975</xdr:rowOff>
                  </from>
                  <to>
                    <xdr:col>8</xdr:col>
                    <xdr:colOff>885825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33" name="Check Box 124">
              <controlPr defaultSize="0" autoFill="0" autoLine="0" autoPict="0">
                <anchor moveWithCells="1">
                  <from>
                    <xdr:col>8</xdr:col>
                    <xdr:colOff>419100</xdr:colOff>
                    <xdr:row>14</xdr:row>
                    <xdr:rowOff>161925</xdr:rowOff>
                  </from>
                  <to>
                    <xdr:col>8</xdr:col>
                    <xdr:colOff>885825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34" name="Check Box 125">
              <controlPr defaultSize="0" autoFill="0" autoLine="0" autoPict="0">
                <anchor moveWithCells="1">
                  <from>
                    <xdr:col>8</xdr:col>
                    <xdr:colOff>419100</xdr:colOff>
                    <xdr:row>15</xdr:row>
                    <xdr:rowOff>161925</xdr:rowOff>
                  </from>
                  <to>
                    <xdr:col>8</xdr:col>
                    <xdr:colOff>885825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35" name="Check Box 126">
              <controlPr defaultSize="0" autoFill="0" autoLine="0" autoPict="0">
                <anchor moveWithCells="1">
                  <from>
                    <xdr:col>8</xdr:col>
                    <xdr:colOff>419100</xdr:colOff>
                    <xdr:row>17</xdr:row>
                    <xdr:rowOff>0</xdr:rowOff>
                  </from>
                  <to>
                    <xdr:col>8</xdr:col>
                    <xdr:colOff>885825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36" name="Check Box 127">
              <controlPr defaultSize="0" autoFill="0" autoLine="0" autoPict="0">
                <anchor moveWithCells="1">
                  <from>
                    <xdr:col>8</xdr:col>
                    <xdr:colOff>419100</xdr:colOff>
                    <xdr:row>17</xdr:row>
                    <xdr:rowOff>180975</xdr:rowOff>
                  </from>
                  <to>
                    <xdr:col>8</xdr:col>
                    <xdr:colOff>885825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37" name="Check Box 128">
              <controlPr defaultSize="0" autoFill="0" autoLine="0" autoPict="0">
                <anchor moveWithCells="1">
                  <from>
                    <xdr:col>8</xdr:col>
                    <xdr:colOff>419100</xdr:colOff>
                    <xdr:row>18</xdr:row>
                    <xdr:rowOff>171450</xdr:rowOff>
                  </from>
                  <to>
                    <xdr:col>8</xdr:col>
                    <xdr:colOff>885825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38" name="Check Box 129">
              <controlPr defaultSize="0" autoFill="0" autoLine="0" autoPict="0">
                <anchor moveWithCells="1">
                  <from>
                    <xdr:col>8</xdr:col>
                    <xdr:colOff>419100</xdr:colOff>
                    <xdr:row>19</xdr:row>
                    <xdr:rowOff>161925</xdr:rowOff>
                  </from>
                  <to>
                    <xdr:col>8</xdr:col>
                    <xdr:colOff>885825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39" name="Check Box 130">
              <controlPr defaultSize="0" autoFill="0" autoLine="0" autoPict="0">
                <anchor moveWithCells="1">
                  <from>
                    <xdr:col>8</xdr:col>
                    <xdr:colOff>419100</xdr:colOff>
                    <xdr:row>20</xdr:row>
                    <xdr:rowOff>171450</xdr:rowOff>
                  </from>
                  <to>
                    <xdr:col>8</xdr:col>
                    <xdr:colOff>885825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40" name="Check Box 131">
              <controlPr defaultSize="0" autoFill="0" autoLine="0" autoPict="0">
                <anchor moveWithCells="1">
                  <from>
                    <xdr:col>8</xdr:col>
                    <xdr:colOff>419100</xdr:colOff>
                    <xdr:row>21</xdr:row>
                    <xdr:rowOff>161925</xdr:rowOff>
                  </from>
                  <to>
                    <xdr:col>8</xdr:col>
                    <xdr:colOff>885825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41" name="Check Box 132">
              <controlPr defaultSize="0" autoFill="0" autoLine="0" autoPict="0">
                <anchor moveWithCells="1">
                  <from>
                    <xdr:col>8</xdr:col>
                    <xdr:colOff>419100</xdr:colOff>
                    <xdr:row>22</xdr:row>
                    <xdr:rowOff>161925</xdr:rowOff>
                  </from>
                  <to>
                    <xdr:col>8</xdr:col>
                    <xdr:colOff>885825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42" name="Check Box 133">
              <controlPr defaultSize="0" autoFill="0" autoLine="0" autoPict="0">
                <anchor moveWithCells="1">
                  <from>
                    <xdr:col>8</xdr:col>
                    <xdr:colOff>419100</xdr:colOff>
                    <xdr:row>23</xdr:row>
                    <xdr:rowOff>161925</xdr:rowOff>
                  </from>
                  <to>
                    <xdr:col>8</xdr:col>
                    <xdr:colOff>885825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43" name="Check Box 134">
              <controlPr defaultSize="0" autoFill="0" autoLine="0" autoPict="0">
                <anchor moveWithCells="1">
                  <from>
                    <xdr:col>8</xdr:col>
                    <xdr:colOff>419100</xdr:colOff>
                    <xdr:row>25</xdr:row>
                    <xdr:rowOff>0</xdr:rowOff>
                  </from>
                  <to>
                    <xdr:col>8</xdr:col>
                    <xdr:colOff>885825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44" name="Check Box 135">
              <controlPr defaultSize="0" autoFill="0" autoLine="0" autoPict="0">
                <anchor moveWithCells="1">
                  <from>
                    <xdr:col>8</xdr:col>
                    <xdr:colOff>419100</xdr:colOff>
                    <xdr:row>26</xdr:row>
                    <xdr:rowOff>9525</xdr:rowOff>
                  </from>
                  <to>
                    <xdr:col>8</xdr:col>
                    <xdr:colOff>885825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45" name="Check Box 136">
              <controlPr defaultSize="0" autoFill="0" autoLine="0" autoPict="0">
                <anchor moveWithCells="1">
                  <from>
                    <xdr:col>8</xdr:col>
                    <xdr:colOff>419100</xdr:colOff>
                    <xdr:row>4</xdr:row>
                    <xdr:rowOff>171450</xdr:rowOff>
                  </from>
                  <to>
                    <xdr:col>8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46" name="Check Box 137">
              <controlPr defaultSize="0" autoFill="0" autoLine="0" autoPict="0">
                <anchor moveWithCells="1">
                  <from>
                    <xdr:col>8</xdr:col>
                    <xdr:colOff>419100</xdr:colOff>
                    <xdr:row>3</xdr:row>
                    <xdr:rowOff>161925</xdr:rowOff>
                  </from>
                  <to>
                    <xdr:col>8</xdr:col>
                    <xdr:colOff>1057275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47" name="Check Box 138">
              <controlPr defaultSize="0" autoFill="0" autoLine="0" autoPict="0">
                <anchor moveWithCells="1">
                  <from>
                    <xdr:col>9</xdr:col>
                    <xdr:colOff>771525</xdr:colOff>
                    <xdr:row>3</xdr:row>
                    <xdr:rowOff>161925</xdr:rowOff>
                  </from>
                  <to>
                    <xdr:col>10</xdr:col>
                    <xdr:colOff>285750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48" name="Check Box 139">
              <controlPr defaultSize="0" autoFill="0" autoLine="0" autoPict="0">
                <anchor moveWithCells="1">
                  <from>
                    <xdr:col>7</xdr:col>
                    <xdr:colOff>685800</xdr:colOff>
                    <xdr:row>3</xdr:row>
                    <xdr:rowOff>180975</xdr:rowOff>
                  </from>
                  <to>
                    <xdr:col>7</xdr:col>
                    <xdr:colOff>1085850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49" name="Check Box 140">
              <controlPr defaultSize="0" autoFill="0" autoLine="0" autoPict="0">
                <anchor moveWithCells="1">
                  <from>
                    <xdr:col>8</xdr:col>
                    <xdr:colOff>419100</xdr:colOff>
                    <xdr:row>9</xdr:row>
                    <xdr:rowOff>171450</xdr:rowOff>
                  </from>
                  <to>
                    <xdr:col>8</xdr:col>
                    <xdr:colOff>885825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7" r:id="rId50" name="Check Box 141">
              <controlPr defaultSize="0" autoFill="0" autoLine="0" autoPict="0">
                <anchor moveWithCells="1">
                  <from>
                    <xdr:col>7</xdr:col>
                    <xdr:colOff>676275</xdr:colOff>
                    <xdr:row>27</xdr:row>
                    <xdr:rowOff>47625</xdr:rowOff>
                  </from>
                  <to>
                    <xdr:col>7</xdr:col>
                    <xdr:colOff>952500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8" r:id="rId51" name="Check Box 142">
              <controlPr defaultSize="0" autoFill="0" autoLine="0" autoPict="0">
                <anchor moveWithCells="1">
                  <from>
                    <xdr:col>7</xdr:col>
                    <xdr:colOff>666750</xdr:colOff>
                    <xdr:row>28</xdr:row>
                    <xdr:rowOff>28575</xdr:rowOff>
                  </from>
                  <to>
                    <xdr:col>7</xdr:col>
                    <xdr:colOff>971550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9" r:id="rId52" name="Check Box 143">
              <controlPr defaultSize="0" autoFill="0" autoLine="0" autoPict="0">
                <anchor moveWithCells="1">
                  <from>
                    <xdr:col>7</xdr:col>
                    <xdr:colOff>676275</xdr:colOff>
                    <xdr:row>29</xdr:row>
                    <xdr:rowOff>9525</xdr:rowOff>
                  </from>
                  <to>
                    <xdr:col>7</xdr:col>
                    <xdr:colOff>1009650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0" r:id="rId53" name="Check Box 144">
              <controlPr defaultSize="0" autoFill="0" autoLine="0" autoPict="0">
                <anchor moveWithCells="1">
                  <from>
                    <xdr:col>7</xdr:col>
                    <xdr:colOff>676275</xdr:colOff>
                    <xdr:row>30</xdr:row>
                    <xdr:rowOff>9525</xdr:rowOff>
                  </from>
                  <to>
                    <xdr:col>7</xdr:col>
                    <xdr:colOff>1009650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1" r:id="rId54" name="Check Box 145">
              <controlPr defaultSize="0" autoFill="0" autoLine="0" autoPict="0">
                <anchor moveWithCells="1">
                  <from>
                    <xdr:col>7</xdr:col>
                    <xdr:colOff>676275</xdr:colOff>
                    <xdr:row>31</xdr:row>
                    <xdr:rowOff>28575</xdr:rowOff>
                  </from>
                  <to>
                    <xdr:col>7</xdr:col>
                    <xdr:colOff>1009650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2" r:id="rId55" name="Check Box 146">
              <controlPr defaultSize="0" autoFill="0" autoLine="0" autoPict="0">
                <anchor moveWithCells="1">
                  <from>
                    <xdr:col>7</xdr:col>
                    <xdr:colOff>676275</xdr:colOff>
                    <xdr:row>32</xdr:row>
                    <xdr:rowOff>19050</xdr:rowOff>
                  </from>
                  <to>
                    <xdr:col>7</xdr:col>
                    <xdr:colOff>990600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3" r:id="rId56" name="Check Box 147">
              <controlPr defaultSize="0" autoFill="0" autoLine="0" autoPict="0">
                <anchor moveWithCells="1">
                  <from>
                    <xdr:col>7</xdr:col>
                    <xdr:colOff>676275</xdr:colOff>
                    <xdr:row>33</xdr:row>
                    <xdr:rowOff>9525</xdr:rowOff>
                  </from>
                  <to>
                    <xdr:col>7</xdr:col>
                    <xdr:colOff>971550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4" r:id="rId57" name="Check Box 148">
              <controlPr defaultSize="0" autoFill="0" autoLine="0" autoPict="0">
                <anchor moveWithCells="1">
                  <from>
                    <xdr:col>8</xdr:col>
                    <xdr:colOff>409575</xdr:colOff>
                    <xdr:row>26</xdr:row>
                    <xdr:rowOff>180975</xdr:rowOff>
                  </from>
                  <to>
                    <xdr:col>8</xdr:col>
                    <xdr:colOff>876300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5" r:id="rId58" name="Check Box 149">
              <controlPr defaultSize="0" autoFill="0" autoLine="0" autoPict="0">
                <anchor moveWithCells="1">
                  <from>
                    <xdr:col>8</xdr:col>
                    <xdr:colOff>409575</xdr:colOff>
                    <xdr:row>28</xdr:row>
                    <xdr:rowOff>0</xdr:rowOff>
                  </from>
                  <to>
                    <xdr:col>8</xdr:col>
                    <xdr:colOff>876300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6" r:id="rId59" name="Check Box 150">
              <controlPr defaultSize="0" autoFill="0" autoLine="0" autoPict="0">
                <anchor moveWithCells="1">
                  <from>
                    <xdr:col>8</xdr:col>
                    <xdr:colOff>409575</xdr:colOff>
                    <xdr:row>28</xdr:row>
                    <xdr:rowOff>180975</xdr:rowOff>
                  </from>
                  <to>
                    <xdr:col>8</xdr:col>
                    <xdr:colOff>876300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7" r:id="rId60" name="Check Box 151">
              <controlPr defaultSize="0" autoFill="0" autoLine="0" autoPict="0">
                <anchor moveWithCells="1">
                  <from>
                    <xdr:col>8</xdr:col>
                    <xdr:colOff>409575</xdr:colOff>
                    <xdr:row>29</xdr:row>
                    <xdr:rowOff>180975</xdr:rowOff>
                  </from>
                  <to>
                    <xdr:col>8</xdr:col>
                    <xdr:colOff>876300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8" r:id="rId61" name="Check Box 152">
              <controlPr defaultSize="0" autoFill="0" autoLine="0" autoPict="0">
                <anchor moveWithCells="1">
                  <from>
                    <xdr:col>8</xdr:col>
                    <xdr:colOff>409575</xdr:colOff>
                    <xdr:row>30</xdr:row>
                    <xdr:rowOff>180975</xdr:rowOff>
                  </from>
                  <to>
                    <xdr:col>8</xdr:col>
                    <xdr:colOff>876300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9" r:id="rId62" name="Check Box 153">
              <controlPr defaultSize="0" autoFill="0" autoLine="0" autoPict="0">
                <anchor moveWithCells="1">
                  <from>
                    <xdr:col>8</xdr:col>
                    <xdr:colOff>409575</xdr:colOff>
                    <xdr:row>32</xdr:row>
                    <xdr:rowOff>19050</xdr:rowOff>
                  </from>
                  <to>
                    <xdr:col>8</xdr:col>
                    <xdr:colOff>876300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0" r:id="rId63" name="Check Box 154">
              <controlPr defaultSize="0" autoFill="0" autoLine="0" autoPict="0">
                <anchor moveWithCells="1">
                  <from>
                    <xdr:col>8</xdr:col>
                    <xdr:colOff>409575</xdr:colOff>
                    <xdr:row>33</xdr:row>
                    <xdr:rowOff>9525</xdr:rowOff>
                  </from>
                  <to>
                    <xdr:col>8</xdr:col>
                    <xdr:colOff>876300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1" r:id="rId64" name="Check Box 155">
              <controlPr defaultSize="0" autoFill="0" autoLine="0" autoPict="0">
                <anchor moveWithCells="1">
                  <from>
                    <xdr:col>7</xdr:col>
                    <xdr:colOff>676275</xdr:colOff>
                    <xdr:row>33</xdr:row>
                    <xdr:rowOff>180975</xdr:rowOff>
                  </from>
                  <to>
                    <xdr:col>7</xdr:col>
                    <xdr:colOff>971550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2" r:id="rId65" name="Check Box 156">
              <controlPr defaultSize="0" autoFill="0" autoLine="0" autoPict="0">
                <anchor moveWithCells="1">
                  <from>
                    <xdr:col>8</xdr:col>
                    <xdr:colOff>409575</xdr:colOff>
                    <xdr:row>33</xdr:row>
                    <xdr:rowOff>180975</xdr:rowOff>
                  </from>
                  <to>
                    <xdr:col>8</xdr:col>
                    <xdr:colOff>876300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3" r:id="rId66" name="Check Box 157">
              <controlPr defaultSize="0" autoFill="0" autoLine="0" autoPict="0">
                <anchor moveWithCells="1">
                  <from>
                    <xdr:col>9</xdr:col>
                    <xdr:colOff>771525</xdr:colOff>
                    <xdr:row>4</xdr:row>
                    <xdr:rowOff>161925</xdr:rowOff>
                  </from>
                  <to>
                    <xdr:col>10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4" r:id="rId67" name="Check Box 158">
              <controlPr defaultSize="0" autoFill="0" autoLine="0" autoPict="0">
                <anchor moveWithCells="1">
                  <from>
                    <xdr:col>9</xdr:col>
                    <xdr:colOff>771525</xdr:colOff>
                    <xdr:row>5</xdr:row>
                    <xdr:rowOff>161925</xdr:rowOff>
                  </from>
                  <to>
                    <xdr:col>10</xdr:col>
                    <xdr:colOff>285750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5" r:id="rId68" name="Check Box 159">
              <controlPr defaultSize="0" autoFill="0" autoLine="0" autoPict="0">
                <anchor moveWithCells="1">
                  <from>
                    <xdr:col>9</xdr:col>
                    <xdr:colOff>771525</xdr:colOff>
                    <xdr:row>6</xdr:row>
                    <xdr:rowOff>161925</xdr:rowOff>
                  </from>
                  <to>
                    <xdr:col>10</xdr:col>
                    <xdr:colOff>285750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6" r:id="rId69" name="Check Box 160">
              <controlPr defaultSize="0" autoFill="0" autoLine="0" autoPict="0">
                <anchor moveWithCells="1">
                  <from>
                    <xdr:col>9</xdr:col>
                    <xdr:colOff>771525</xdr:colOff>
                    <xdr:row>7</xdr:row>
                    <xdr:rowOff>161925</xdr:rowOff>
                  </from>
                  <to>
                    <xdr:col>10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7" r:id="rId70" name="Check Box 161">
              <controlPr defaultSize="0" autoFill="0" autoLine="0" autoPict="0">
                <anchor moveWithCells="1">
                  <from>
                    <xdr:col>9</xdr:col>
                    <xdr:colOff>771525</xdr:colOff>
                    <xdr:row>8</xdr:row>
                    <xdr:rowOff>161925</xdr:rowOff>
                  </from>
                  <to>
                    <xdr:col>10</xdr:col>
                    <xdr:colOff>285750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8" r:id="rId71" name="Check Box 162">
              <controlPr defaultSize="0" autoFill="0" autoLine="0" autoPict="0">
                <anchor moveWithCells="1">
                  <from>
                    <xdr:col>9</xdr:col>
                    <xdr:colOff>771525</xdr:colOff>
                    <xdr:row>9</xdr:row>
                    <xdr:rowOff>161925</xdr:rowOff>
                  </from>
                  <to>
                    <xdr:col>10</xdr:col>
                    <xdr:colOff>285750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9" r:id="rId72" name="Check Box 163">
              <controlPr defaultSize="0" autoFill="0" autoLine="0" autoPict="0">
                <anchor moveWithCells="1">
                  <from>
                    <xdr:col>9</xdr:col>
                    <xdr:colOff>771525</xdr:colOff>
                    <xdr:row>10</xdr:row>
                    <xdr:rowOff>161925</xdr:rowOff>
                  </from>
                  <to>
                    <xdr:col>10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0" r:id="rId73" name="Check Box 164">
              <controlPr defaultSize="0" autoFill="0" autoLine="0" autoPict="0">
                <anchor moveWithCells="1">
                  <from>
                    <xdr:col>9</xdr:col>
                    <xdr:colOff>771525</xdr:colOff>
                    <xdr:row>11</xdr:row>
                    <xdr:rowOff>161925</xdr:rowOff>
                  </from>
                  <to>
                    <xdr:col>10</xdr:col>
                    <xdr:colOff>285750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1" r:id="rId74" name="Check Box 165">
              <controlPr defaultSize="0" autoFill="0" autoLine="0" autoPict="0">
                <anchor moveWithCells="1">
                  <from>
                    <xdr:col>9</xdr:col>
                    <xdr:colOff>771525</xdr:colOff>
                    <xdr:row>12</xdr:row>
                    <xdr:rowOff>161925</xdr:rowOff>
                  </from>
                  <to>
                    <xdr:col>10</xdr:col>
                    <xdr:colOff>285750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2" r:id="rId75" name="Check Box 166">
              <controlPr defaultSize="0" autoFill="0" autoLine="0" autoPict="0">
                <anchor moveWithCells="1">
                  <from>
                    <xdr:col>9</xdr:col>
                    <xdr:colOff>771525</xdr:colOff>
                    <xdr:row>13</xdr:row>
                    <xdr:rowOff>161925</xdr:rowOff>
                  </from>
                  <to>
                    <xdr:col>10</xdr:col>
                    <xdr:colOff>285750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3" r:id="rId76" name="Check Box 167">
              <controlPr defaultSize="0" autoFill="0" autoLine="0" autoPict="0">
                <anchor moveWithCells="1">
                  <from>
                    <xdr:col>9</xdr:col>
                    <xdr:colOff>771525</xdr:colOff>
                    <xdr:row>14</xdr:row>
                    <xdr:rowOff>161925</xdr:rowOff>
                  </from>
                  <to>
                    <xdr:col>10</xdr:col>
                    <xdr:colOff>285750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4" r:id="rId77" name="Check Box 168">
              <controlPr defaultSize="0" autoFill="0" autoLine="0" autoPict="0">
                <anchor moveWithCells="1">
                  <from>
                    <xdr:col>9</xdr:col>
                    <xdr:colOff>771525</xdr:colOff>
                    <xdr:row>15</xdr:row>
                    <xdr:rowOff>161925</xdr:rowOff>
                  </from>
                  <to>
                    <xdr:col>10</xdr:col>
                    <xdr:colOff>285750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5" r:id="rId78" name="Check Box 169">
              <controlPr defaultSize="0" autoFill="0" autoLine="0" autoPict="0">
                <anchor moveWithCells="1">
                  <from>
                    <xdr:col>9</xdr:col>
                    <xdr:colOff>771525</xdr:colOff>
                    <xdr:row>16</xdr:row>
                    <xdr:rowOff>161925</xdr:rowOff>
                  </from>
                  <to>
                    <xdr:col>10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6" r:id="rId79" name="Check Box 170">
              <controlPr defaultSize="0" autoFill="0" autoLine="0" autoPict="0">
                <anchor moveWithCells="1">
                  <from>
                    <xdr:col>9</xdr:col>
                    <xdr:colOff>771525</xdr:colOff>
                    <xdr:row>17</xdr:row>
                    <xdr:rowOff>161925</xdr:rowOff>
                  </from>
                  <to>
                    <xdr:col>10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7" r:id="rId80" name="Check Box 171">
              <controlPr defaultSize="0" autoFill="0" autoLine="0" autoPict="0">
                <anchor moveWithCells="1">
                  <from>
                    <xdr:col>9</xdr:col>
                    <xdr:colOff>771525</xdr:colOff>
                    <xdr:row>18</xdr:row>
                    <xdr:rowOff>161925</xdr:rowOff>
                  </from>
                  <to>
                    <xdr:col>10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8" r:id="rId81" name="Check Box 172">
              <controlPr defaultSize="0" autoFill="0" autoLine="0" autoPict="0">
                <anchor moveWithCells="1">
                  <from>
                    <xdr:col>9</xdr:col>
                    <xdr:colOff>771525</xdr:colOff>
                    <xdr:row>19</xdr:row>
                    <xdr:rowOff>161925</xdr:rowOff>
                  </from>
                  <to>
                    <xdr:col>10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9" r:id="rId82" name="Check Box 173">
              <controlPr defaultSize="0" autoFill="0" autoLine="0" autoPict="0">
                <anchor moveWithCells="1">
                  <from>
                    <xdr:col>9</xdr:col>
                    <xdr:colOff>771525</xdr:colOff>
                    <xdr:row>20</xdr:row>
                    <xdr:rowOff>161925</xdr:rowOff>
                  </from>
                  <to>
                    <xdr:col>10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0" r:id="rId83" name="Check Box 174">
              <controlPr defaultSize="0" autoFill="0" autoLine="0" autoPict="0">
                <anchor moveWithCells="1">
                  <from>
                    <xdr:col>9</xdr:col>
                    <xdr:colOff>771525</xdr:colOff>
                    <xdr:row>21</xdr:row>
                    <xdr:rowOff>161925</xdr:rowOff>
                  </from>
                  <to>
                    <xdr:col>10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1" r:id="rId84" name="Check Box 175">
              <controlPr defaultSize="0" autoFill="0" autoLine="0" autoPict="0">
                <anchor moveWithCells="1">
                  <from>
                    <xdr:col>9</xdr:col>
                    <xdr:colOff>771525</xdr:colOff>
                    <xdr:row>22</xdr:row>
                    <xdr:rowOff>161925</xdr:rowOff>
                  </from>
                  <to>
                    <xdr:col>10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2" r:id="rId85" name="Check Box 176">
              <controlPr defaultSize="0" autoFill="0" autoLine="0" autoPict="0">
                <anchor moveWithCells="1">
                  <from>
                    <xdr:col>9</xdr:col>
                    <xdr:colOff>771525</xdr:colOff>
                    <xdr:row>23</xdr:row>
                    <xdr:rowOff>161925</xdr:rowOff>
                  </from>
                  <to>
                    <xdr:col>10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3" r:id="rId86" name="Check Box 177">
              <controlPr defaultSize="0" autoFill="0" autoLine="0" autoPict="0">
                <anchor moveWithCells="1">
                  <from>
                    <xdr:col>9</xdr:col>
                    <xdr:colOff>771525</xdr:colOff>
                    <xdr:row>24</xdr:row>
                    <xdr:rowOff>161925</xdr:rowOff>
                  </from>
                  <to>
                    <xdr:col>10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4" r:id="rId87" name="Check Box 178">
              <controlPr defaultSize="0" autoFill="0" autoLine="0" autoPict="0">
                <anchor moveWithCells="1">
                  <from>
                    <xdr:col>9</xdr:col>
                    <xdr:colOff>771525</xdr:colOff>
                    <xdr:row>25</xdr:row>
                    <xdr:rowOff>161925</xdr:rowOff>
                  </from>
                  <to>
                    <xdr:col>10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5" r:id="rId88" name="Check Box 179">
              <controlPr defaultSize="0" autoFill="0" autoLine="0" autoPict="0">
                <anchor moveWithCells="1">
                  <from>
                    <xdr:col>9</xdr:col>
                    <xdr:colOff>771525</xdr:colOff>
                    <xdr:row>26</xdr:row>
                    <xdr:rowOff>161925</xdr:rowOff>
                  </from>
                  <to>
                    <xdr:col>10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6" r:id="rId89" name="Check Box 180">
              <controlPr defaultSize="0" autoFill="0" autoLine="0" autoPict="0">
                <anchor moveWithCells="1">
                  <from>
                    <xdr:col>9</xdr:col>
                    <xdr:colOff>771525</xdr:colOff>
                    <xdr:row>27</xdr:row>
                    <xdr:rowOff>161925</xdr:rowOff>
                  </from>
                  <to>
                    <xdr:col>10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7" r:id="rId90" name="Check Box 181">
              <controlPr defaultSize="0" autoFill="0" autoLine="0" autoPict="0">
                <anchor moveWithCells="1">
                  <from>
                    <xdr:col>9</xdr:col>
                    <xdr:colOff>771525</xdr:colOff>
                    <xdr:row>28</xdr:row>
                    <xdr:rowOff>161925</xdr:rowOff>
                  </from>
                  <to>
                    <xdr:col>10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8" r:id="rId91" name="Check Box 182">
              <controlPr defaultSize="0" autoFill="0" autoLine="0" autoPict="0">
                <anchor moveWithCells="1">
                  <from>
                    <xdr:col>9</xdr:col>
                    <xdr:colOff>771525</xdr:colOff>
                    <xdr:row>29</xdr:row>
                    <xdr:rowOff>161925</xdr:rowOff>
                  </from>
                  <to>
                    <xdr:col>10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9" r:id="rId92" name="Check Box 183">
              <controlPr defaultSize="0" autoFill="0" autoLine="0" autoPict="0">
                <anchor moveWithCells="1">
                  <from>
                    <xdr:col>9</xdr:col>
                    <xdr:colOff>771525</xdr:colOff>
                    <xdr:row>30</xdr:row>
                    <xdr:rowOff>161925</xdr:rowOff>
                  </from>
                  <to>
                    <xdr:col>10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0" r:id="rId93" name="Check Box 184">
              <controlPr defaultSize="0" autoFill="0" autoLine="0" autoPict="0">
                <anchor moveWithCells="1">
                  <from>
                    <xdr:col>9</xdr:col>
                    <xdr:colOff>771525</xdr:colOff>
                    <xdr:row>31</xdr:row>
                    <xdr:rowOff>161925</xdr:rowOff>
                  </from>
                  <to>
                    <xdr:col>10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1" r:id="rId94" name="Check Box 185">
              <controlPr defaultSize="0" autoFill="0" autoLine="0" autoPict="0">
                <anchor moveWithCells="1">
                  <from>
                    <xdr:col>9</xdr:col>
                    <xdr:colOff>771525</xdr:colOff>
                    <xdr:row>32</xdr:row>
                    <xdr:rowOff>161925</xdr:rowOff>
                  </from>
                  <to>
                    <xdr:col>10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2" r:id="rId95" name="Check Box 186">
              <controlPr defaultSize="0" autoFill="0" autoLine="0" autoPict="0">
                <anchor moveWithCells="1">
                  <from>
                    <xdr:col>9</xdr:col>
                    <xdr:colOff>771525</xdr:colOff>
                    <xdr:row>33</xdr:row>
                    <xdr:rowOff>161925</xdr:rowOff>
                  </from>
                  <to>
                    <xdr:col>10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3" r:id="rId96" name="Button 187">
              <controlPr defaultSize="0" print="0" autoFill="0" autoPict="0" macro="[0]!Button187_Click">
                <anchor moveWithCells="1" sizeWithCells="1">
                  <from>
                    <xdr:col>10</xdr:col>
                    <xdr:colOff>1200150</xdr:colOff>
                    <xdr:row>0</xdr:row>
                    <xdr:rowOff>133350</xdr:rowOff>
                  </from>
                  <to>
                    <xdr:col>13</xdr:col>
                    <xdr:colOff>295275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Main Menu</vt:lpstr>
      <vt:lpstr>Sheet1</vt:lpstr>
      <vt:lpstr>Revinue</vt:lpstr>
      <vt:lpstr>Price of Coaches</vt:lpstr>
      <vt:lpstr>Coach Availabilty</vt:lpstr>
      <vt:lpstr>Price of Tickets</vt:lpstr>
      <vt:lpstr>Ticket Number</vt:lpstr>
      <vt:lpstr>Trips</vt:lpstr>
      <vt:lpstr>Trips timings</vt:lpstr>
      <vt:lpstr>Trip shows</vt:lpstr>
      <vt:lpstr>Annual Membership</vt:lpstr>
      <vt:lpstr>Members</vt:lpstr>
      <vt:lpstr>Royal Court Theatre</vt:lpstr>
      <vt:lpstr>Southwark Playhouse</vt:lpstr>
      <vt:lpstr>National Theatre</vt:lpstr>
      <vt:lpstr>Union Theatre</vt:lpstr>
      <vt:lpstr>The Young Vic Theatre</vt:lpstr>
      <vt:lpstr>The Old Vic</vt:lpstr>
      <vt:lpstr>Victoria Palace Theatre</vt:lpstr>
      <vt:lpstr>Soho Theatre</vt:lpstr>
      <vt:lpstr>'Main Menu'!Print_Area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Ria View Theatre Club</dc:title>
  <dc:creator>Khushal Ashani</dc:creator>
  <cp:lastModifiedBy>Khushal Ashani</cp:lastModifiedBy>
  <cp:lastPrinted>2014-01-29T14:16:09Z</cp:lastPrinted>
  <dcterms:created xsi:type="dcterms:W3CDTF">2014-01-22T14:07:57Z</dcterms:created>
  <dcterms:modified xsi:type="dcterms:W3CDTF">2017-07-03T18:13:52Z</dcterms:modified>
</cp:coreProperties>
</file>